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JECTS\AppData\Local\Microsoft\Windows\INetCache\Content.Outlook\WOPI1HFB\"/>
    </mc:Choice>
  </mc:AlternateContent>
  <xr:revisionPtr revIDLastSave="0" documentId="13_ncr:1_{84367889-ADF5-4BEB-914B-3C74D1016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8" r:id="rId1"/>
    <sheet name="TAR" sheetId="26" r:id="rId2"/>
    <sheet name="PO" sheetId="2" r:id="rId3"/>
    <sheet name="MATERIAL" sheetId="5" r:id="rId4"/>
    <sheet name="TOOLS" sheetId="10" r:id="rId5"/>
    <sheet name="VEHICLE" sheetId="11" r:id="rId6"/>
    <sheet name="JAN" sheetId="28" r:id="rId7"/>
    <sheet name="FEB" sheetId="29" r:id="rId8"/>
    <sheet name="Diesel Cost" sheetId="14" state="hidden" r:id="rId9"/>
  </sheets>
  <definedNames>
    <definedName name="_xlnm.Print_Area" localSheetId="3">MATERIAL!$A$1:$E$3</definedName>
    <definedName name="_xlnm.Print_Area" localSheetId="0">SUMMARY!$A$1:$J$34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5" l="1"/>
  <c r="I81" i="5"/>
  <c r="I80" i="5"/>
  <c r="I12" i="5"/>
  <c r="I11" i="5"/>
  <c r="I10" i="5"/>
  <c r="I9" i="5"/>
  <c r="I8" i="5"/>
  <c r="I7" i="5"/>
  <c r="I6" i="5"/>
  <c r="H30" i="29"/>
  <c r="F5" i="11"/>
  <c r="D5" i="11" s="1"/>
  <c r="F6" i="11"/>
  <c r="F7" i="11"/>
  <c r="F8" i="11"/>
  <c r="D8" i="11" s="1"/>
  <c r="M5" i="29"/>
  <c r="M4" i="29"/>
  <c r="M6" i="29" s="1"/>
  <c r="T5" i="29"/>
  <c r="T7" i="29" s="1"/>
  <c r="M23" i="29"/>
  <c r="M25" i="29" s="1"/>
  <c r="T10" i="29"/>
  <c r="T13" i="29" s="1"/>
  <c r="F3" i="29"/>
  <c r="F2" i="29"/>
  <c r="I85" i="5" l="1"/>
  <c r="E6" i="11"/>
  <c r="D6" i="11" s="1"/>
  <c r="E7" i="11"/>
  <c r="D7" i="11" s="1"/>
  <c r="E5" i="11"/>
  <c r="G27" i="8"/>
  <c r="F3" i="28"/>
  <c r="F2" i="28"/>
  <c r="F4" i="28" s="1"/>
  <c r="F31" i="28" s="1"/>
  <c r="F6" i="10"/>
  <c r="F8" i="10"/>
  <c r="F7" i="10"/>
  <c r="D10" i="11" l="1"/>
  <c r="F15" i="10"/>
  <c r="F10" i="10" l="1"/>
  <c r="F13" i="10"/>
  <c r="F9" i="10" l="1"/>
  <c r="F11" i="10"/>
  <c r="F12" i="10"/>
  <c r="F14" i="10"/>
  <c r="B12" i="14" l="1"/>
  <c r="A1" i="14"/>
  <c r="F5" i="10" l="1"/>
  <c r="G30" i="8" l="1"/>
  <c r="G31" i="8" s="1"/>
</calcChain>
</file>

<file path=xl/sharedStrings.xml><?xml version="1.0" encoding="utf-8"?>
<sst xmlns="http://schemas.openxmlformats.org/spreadsheetml/2006/main" count="379" uniqueCount="115">
  <si>
    <t>PROJECT NAME:</t>
  </si>
  <si>
    <t>PROJECT NUMBER:</t>
  </si>
  <si>
    <t>3CORE PROJECT FINANCIAL SUMMARY</t>
  </si>
  <si>
    <t>PURCHASE ORDERS</t>
  </si>
  <si>
    <t>LABOUR</t>
  </si>
  <si>
    <t>MATERIAL</t>
  </si>
  <si>
    <t>TOOLS</t>
  </si>
  <si>
    <t>VEHICLE COSTS</t>
  </si>
  <si>
    <t xml:space="preserve"> </t>
  </si>
  <si>
    <t>OHC</t>
  </si>
  <si>
    <t>FORUM</t>
  </si>
  <si>
    <t>INDICATIVE PROFIT-LOSS</t>
  </si>
  <si>
    <t>% PROFIT/LOSS</t>
  </si>
  <si>
    <t xml:space="preserve">Vehicle Costs </t>
  </si>
  <si>
    <t>COST PER KM</t>
  </si>
  <si>
    <t xml:space="preserve"> TOTAL COSTS </t>
  </si>
  <si>
    <t>NPN77194-Truck</t>
  </si>
  <si>
    <t xml:space="preserve"> R -   </t>
  </si>
  <si>
    <t>TOTAL</t>
  </si>
  <si>
    <t>Labour</t>
  </si>
  <si>
    <t xml:space="preserve"> R-   </t>
  </si>
  <si>
    <t>Crusher</t>
  </si>
  <si>
    <t>Tar</t>
  </si>
  <si>
    <t>SUB-TOTAL</t>
  </si>
  <si>
    <t>Illovu Landfill</t>
  </si>
  <si>
    <t xml:space="preserve">Date </t>
  </si>
  <si>
    <t xml:space="preserve">PO </t>
  </si>
  <si>
    <t xml:space="preserve">Description </t>
  </si>
  <si>
    <t xml:space="preserve">Reference Number </t>
  </si>
  <si>
    <t xml:space="preserve">Amount (excl VAT) </t>
  </si>
  <si>
    <t>Total</t>
  </si>
  <si>
    <t>Model</t>
  </si>
  <si>
    <t>Current allocation name</t>
  </si>
  <si>
    <t>Responsible employee</t>
  </si>
  <si>
    <t>Stocking unit</t>
  </si>
  <si>
    <t>Status</t>
  </si>
  <si>
    <t>One-time cost (per stock unit) - ZAR</t>
  </si>
  <si>
    <t>Tools</t>
  </si>
  <si>
    <t>Item</t>
  </si>
  <si>
    <t>Description</t>
  </si>
  <si>
    <t>Quantity</t>
  </si>
  <si>
    <t>Days</t>
  </si>
  <si>
    <t>Amount</t>
  </si>
  <si>
    <t>Talisman</t>
  </si>
  <si>
    <t>Breaker</t>
  </si>
  <si>
    <t>Wacker</t>
  </si>
  <si>
    <t>Generator</t>
  </si>
  <si>
    <t>Roller</t>
  </si>
  <si>
    <t>Drill</t>
  </si>
  <si>
    <t>Grinder and blades</t>
  </si>
  <si>
    <t>Concrete  cutte</t>
  </si>
  <si>
    <t>Push Rod</t>
  </si>
  <si>
    <t xml:space="preserve">Compressor </t>
  </si>
  <si>
    <t>Vehicle Reg</t>
  </si>
  <si>
    <t xml:space="preserve">Supervisor </t>
  </si>
  <si>
    <t>TOTAL COSTS</t>
  </si>
  <si>
    <t>DATE</t>
  </si>
  <si>
    <t>QUANTITY</t>
  </si>
  <si>
    <t>RATE</t>
  </si>
  <si>
    <t>TIME</t>
  </si>
  <si>
    <t>General Labour</t>
  </si>
  <si>
    <t>Supervisor</t>
  </si>
  <si>
    <t xml:space="preserve">Diesel Costs </t>
  </si>
  <si>
    <t xml:space="preserve">TOTAL LITERS </t>
  </si>
  <si>
    <t xml:space="preserve">SITE </t>
  </si>
  <si>
    <t>Mbambo</t>
  </si>
  <si>
    <t>Sethabile</t>
  </si>
  <si>
    <t>Thulani</t>
  </si>
  <si>
    <t>Kabelo</t>
  </si>
  <si>
    <t>Nosipho</t>
  </si>
  <si>
    <t>Brenda</t>
  </si>
  <si>
    <t>Khanyi</t>
  </si>
  <si>
    <t xml:space="preserve"> ,</t>
  </si>
  <si>
    <t>PERIOD (2025/01</t>
  </si>
  <si>
    <t>Liberty Tower</t>
  </si>
  <si>
    <t>Supervisor: Machi</t>
  </si>
  <si>
    <t>17/01/2025</t>
  </si>
  <si>
    <t>BG51VCZN</t>
  </si>
  <si>
    <t>Machi</t>
  </si>
  <si>
    <t>Sipho</t>
  </si>
  <si>
    <t>NU107063</t>
  </si>
  <si>
    <t>20/01/2025</t>
  </si>
  <si>
    <t>21/01/2025</t>
  </si>
  <si>
    <t>22/01/2025</t>
  </si>
  <si>
    <t>Mbongeni</t>
  </si>
  <si>
    <t>NPN85677</t>
  </si>
  <si>
    <t>24/01/2025</t>
  </si>
  <si>
    <t>28/01/2025</t>
  </si>
  <si>
    <t>Team Leader</t>
  </si>
  <si>
    <t>Team leader</t>
  </si>
  <si>
    <t>27/01/2025</t>
  </si>
  <si>
    <t>IN963051</t>
  </si>
  <si>
    <t>24WAY LC PATCH PANEL</t>
  </si>
  <si>
    <t>LIBERTY TOWERS</t>
  </si>
  <si>
    <t>Mbongeni Gumede</t>
  </si>
  <si>
    <t>48 PORT ODF PATCH PANEL</t>
  </si>
  <si>
    <t>BIG Cable Ties 7.9 x 400 2025</t>
  </si>
  <si>
    <t>LC/PC Pigtails 2025</t>
  </si>
  <si>
    <t>Splice Protector  60mm 2025</t>
  </si>
  <si>
    <t>Brady Vinny M21-750 Yellow &amp; black 19mm 2025</t>
  </si>
  <si>
    <t>11/02/2025</t>
  </si>
  <si>
    <t>Jojisa</t>
  </si>
  <si>
    <t>10/02/2025</t>
  </si>
  <si>
    <t>12/02/2025</t>
  </si>
  <si>
    <t>13/02/2025</t>
  </si>
  <si>
    <t>17/02/2025</t>
  </si>
  <si>
    <t>14/02/2025</t>
  </si>
  <si>
    <t>Yanmkela &amp;Jojisa</t>
  </si>
  <si>
    <t>Mbongeni&amp; Jojisa</t>
  </si>
  <si>
    <t>Nkosinathi Machi</t>
  </si>
  <si>
    <t>48 CORE HDD SM (9/125) FIBRE 2025</t>
  </si>
  <si>
    <t>12 CORE CST SM (9/125) FIBRE</t>
  </si>
  <si>
    <t>SMALL Cable tie 4.8 X 50/100/200 2025</t>
  </si>
  <si>
    <t>6 WAY DOME JOINT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</si>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</sst>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R&quot;\ * #,##0.00_ ;_ &quot;R&quot;\ * \-#,##0.00_ ;_ &quot;R&quot;\ * &quot;-&quot;??_ ;_ @_ "/>
    <numFmt numFmtId="165" formatCode="&quot;R&quot;\ #,##0.00"/>
    <numFmt numFmtId="166" formatCode="_-[$R-1C09]* #,##0.00_-;\-[$R-1C09]* #,##0.00_-;_-[$R-1C09]* &quot;-&quot;??_-;_-@_-"/>
    <numFmt numFmtId="167" formatCode="mmm\ d\,\ yyyy\ h:mm:ss\ \a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3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  <diagonal/>
    </border>
    <border>
      <left style="double">
        <color rgb="FF0000FF"/>
      </left>
      <right/>
      <top style="double">
        <color rgb="FF0000FF"/>
      </top>
      <bottom/>
      <diagonal/>
    </border>
    <border>
      <left/>
      <right/>
      <top style="double">
        <color rgb="FF0000FF"/>
      </top>
      <bottom/>
      <diagonal/>
    </border>
    <border>
      <left/>
      <right style="double">
        <color rgb="FF0000FF"/>
      </right>
      <top style="double">
        <color rgb="FF0000FF"/>
      </top>
      <bottom/>
      <diagonal/>
    </border>
    <border>
      <left style="double">
        <color rgb="FF0000FF"/>
      </left>
      <right/>
      <top/>
      <bottom/>
      <diagonal/>
    </border>
    <border>
      <left/>
      <right style="double">
        <color rgb="FF0000FF"/>
      </right>
      <top/>
      <bottom/>
      <diagonal/>
    </border>
    <border>
      <left style="double">
        <color rgb="FF0000FF"/>
      </left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double">
        <color rgb="FF0000FF"/>
      </left>
      <right/>
      <top style="double">
        <color rgb="FF0000FF"/>
      </top>
      <bottom style="double">
        <color rgb="FF0000FF"/>
      </bottom>
      <diagonal/>
    </border>
    <border>
      <left/>
      <right/>
      <top style="double">
        <color rgb="FF0000FF"/>
      </top>
      <bottom style="double">
        <color rgb="FF0000FF"/>
      </bottom>
      <diagonal/>
    </border>
    <border>
      <left/>
      <right style="double">
        <color rgb="FF0000FF"/>
      </right>
      <top style="double">
        <color rgb="FF0000FF"/>
      </top>
      <bottom style="double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164" fontId="9" fillId="0" borderId="0" applyFont="0" applyFill="0" applyBorder="0" applyAlignment="0" applyProtection="0"/>
  </cellStyleXfs>
  <cellXfs count="14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5" fontId="2" fillId="2" borderId="0" xfId="0" applyNumberFormat="1" applyFont="1" applyFill="1"/>
    <xf numFmtId="0" fontId="0" fillId="2" borderId="1" xfId="0" applyFill="1" applyBorder="1"/>
    <xf numFmtId="0" fontId="11" fillId="2" borderId="0" xfId="0" quotePrefix="1" applyFont="1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164" fontId="0" fillId="2" borderId="1" xfId="3" applyFont="1" applyFill="1" applyBorder="1" applyAlignment="1">
      <alignment horizontal="center" vertical="center"/>
    </xf>
    <xf numFmtId="0" fontId="0" fillId="2" borderId="3" xfId="0" applyFill="1" applyBorder="1"/>
    <xf numFmtId="164" fontId="0" fillId="2" borderId="0" xfId="3" applyFont="1" applyFill="1"/>
    <xf numFmtId="0" fontId="7" fillId="2" borderId="1" xfId="0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0" xfId="0" applyFont="1" applyFill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2" fontId="0" fillId="2" borderId="1" xfId="0" applyNumberFormat="1" applyFill="1" applyBorder="1"/>
    <xf numFmtId="17" fontId="0" fillId="2" borderId="0" xfId="0" applyNumberFormat="1" applyFill="1"/>
    <xf numFmtId="17" fontId="0" fillId="2" borderId="0" xfId="3" applyNumberFormat="1" applyFont="1" applyFill="1"/>
    <xf numFmtId="0" fontId="12" fillId="2" borderId="8" xfId="0" applyFont="1" applyFill="1" applyBorder="1"/>
    <xf numFmtId="0" fontId="12" fillId="2" borderId="9" xfId="0" applyFont="1" applyFill="1" applyBorder="1"/>
    <xf numFmtId="0" fontId="0" fillId="2" borderId="1" xfId="0" applyFill="1" applyBorder="1" applyAlignment="1">
      <alignment horizontal="center"/>
    </xf>
    <xf numFmtId="14" fontId="8" fillId="2" borderId="1" xfId="0" applyNumberFormat="1" applyFont="1" applyFill="1" applyBorder="1" applyAlignment="1">
      <alignment vertical="center"/>
    </xf>
    <xf numFmtId="164" fontId="0" fillId="2" borderId="1" xfId="3" applyFont="1" applyFill="1" applyBorder="1" applyAlignment="1">
      <alignment vertical="center"/>
    </xf>
    <xf numFmtId="164" fontId="1" fillId="2" borderId="2" xfId="3" applyFont="1" applyFill="1" applyBorder="1"/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0" xfId="0" applyFont="1" applyFill="1"/>
    <xf numFmtId="165" fontId="0" fillId="2" borderId="0" xfId="0" applyNumberFormat="1" applyFill="1"/>
    <xf numFmtId="165" fontId="7" fillId="0" borderId="1" xfId="0" applyNumberFormat="1" applyFont="1" applyBorder="1" applyAlignment="1">
      <alignment vertical="center"/>
    </xf>
    <xf numFmtId="164" fontId="0" fillId="2" borderId="2" xfId="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5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166" fontId="2" fillId="2" borderId="1" xfId="0" applyNumberFormat="1" applyFont="1" applyFill="1" applyBorder="1"/>
    <xf numFmtId="0" fontId="0" fillId="0" borderId="15" xfId="0" applyBorder="1"/>
    <xf numFmtId="2" fontId="0" fillId="2" borderId="15" xfId="0" applyNumberFormat="1" applyFill="1" applyBorder="1"/>
    <xf numFmtId="164" fontId="1" fillId="2" borderId="1" xfId="3" applyFont="1" applyFill="1" applyBorder="1"/>
    <xf numFmtId="165" fontId="1" fillId="2" borderId="1" xfId="0" applyNumberFormat="1" applyFont="1" applyFill="1" applyBorder="1"/>
    <xf numFmtId="0" fontId="0" fillId="2" borderId="0" xfId="0" applyFill="1" applyAlignment="1">
      <alignment horizontal="center"/>
    </xf>
    <xf numFmtId="166" fontId="9" fillId="2" borderId="1" xfId="3" applyNumberFormat="1" applyFont="1" applyFill="1" applyBorder="1"/>
    <xf numFmtId="164" fontId="1" fillId="0" borderId="0" xfId="3" applyFont="1" applyAlignment="1" applyProtection="1">
      <alignment horizontal="right" vertical="center"/>
    </xf>
    <xf numFmtId="166" fontId="0" fillId="0" borderId="0" xfId="0" applyNumberFormat="1"/>
    <xf numFmtId="0" fontId="0" fillId="0" borderId="2" xfId="0" applyBorder="1"/>
    <xf numFmtId="16" fontId="0" fillId="0" borderId="2" xfId="0" applyNumberFormat="1" applyBorder="1"/>
    <xf numFmtId="0" fontId="0" fillId="0" borderId="18" xfId="0" applyBorder="1"/>
    <xf numFmtId="166" fontId="1" fillId="0" borderId="1" xfId="0" applyNumberFormat="1" applyFont="1" applyBorder="1"/>
    <xf numFmtId="166" fontId="0" fillId="0" borderId="1" xfId="0" applyNumberFormat="1" applyBorder="1"/>
    <xf numFmtId="0" fontId="0" fillId="2" borderId="20" xfId="0" applyFill="1" applyBorder="1" applyAlignment="1">
      <alignment horizontal="center"/>
    </xf>
    <xf numFmtId="14" fontId="0" fillId="0" borderId="1" xfId="0" applyNumberFormat="1" applyBorder="1"/>
    <xf numFmtId="0" fontId="0" fillId="0" borderId="1" xfId="0" quotePrefix="1" applyBorder="1" applyAlignment="1">
      <alignment horizontal="center" vertical="center" wrapText="1"/>
    </xf>
    <xf numFmtId="0" fontId="2" fillId="2" borderId="1" xfId="0" applyFont="1" applyFill="1" applyBorder="1"/>
    <xf numFmtId="165" fontId="2" fillId="2" borderId="1" xfId="0" applyNumberFormat="1" applyFont="1" applyFill="1" applyBorder="1" applyAlignment="1">
      <alignment horizontal="center"/>
    </xf>
    <xf numFmtId="166" fontId="0" fillId="0" borderId="1" xfId="0" quotePrefix="1" applyNumberFormat="1" applyBorder="1" applyAlignment="1">
      <alignment horizontal="right" vertical="center" wrapText="1"/>
    </xf>
    <xf numFmtId="0" fontId="2" fillId="2" borderId="3" xfId="0" applyFont="1" applyFill="1" applyBorder="1"/>
    <xf numFmtId="0" fontId="15" fillId="4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166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6" fontId="3" fillId="0" borderId="1" xfId="0" applyNumberFormat="1" applyFont="1" applyBorder="1"/>
    <xf numFmtId="0" fontId="0" fillId="0" borderId="0" xfId="0" quotePrefix="1" applyAlignment="1">
      <alignment horizontal="right" vertical="center" wrapText="1"/>
    </xf>
    <xf numFmtId="0" fontId="0" fillId="0" borderId="0" xfId="0" quotePrefix="1" applyAlignment="1">
      <alignment horizontal="center" vertical="center" wrapText="1"/>
    </xf>
    <xf numFmtId="167" fontId="0" fillId="0" borderId="1" xfId="0" quotePrefix="1" applyNumberFormat="1" applyBorder="1" applyAlignment="1">
      <alignment horizontal="center" vertical="center" wrapText="1"/>
    </xf>
    <xf numFmtId="166" fontId="0" fillId="0" borderId="1" xfId="0" quotePrefix="1" applyNumberFormat="1" applyBorder="1" applyAlignment="1">
      <alignment horizontal="center" vertical="center" wrapText="1"/>
    </xf>
    <xf numFmtId="2" fontId="0" fillId="0" borderId="3" xfId="0" quotePrefix="1" applyNumberFormat="1" applyBorder="1" applyAlignment="1">
      <alignment horizontal="right" vertical="center" wrapText="1"/>
    </xf>
    <xf numFmtId="2" fontId="0" fillId="0" borderId="1" xfId="0" quotePrefix="1" applyNumberFormat="1" applyBorder="1" applyAlignment="1">
      <alignment horizontal="right" vertical="center" wrapText="1"/>
    </xf>
    <xf numFmtId="2" fontId="0" fillId="0" borderId="1" xfId="0" quotePrefix="1" applyNumberFormat="1" applyBorder="1" applyAlignment="1">
      <alignment horizontal="center" vertical="center" wrapText="1"/>
    </xf>
    <xf numFmtId="2" fontId="2" fillId="0" borderId="3" xfId="0" applyNumberFormat="1" applyFont="1" applyBorder="1"/>
    <xf numFmtId="2" fontId="2" fillId="2" borderId="3" xfId="0" applyNumberFormat="1" applyFont="1" applyFill="1" applyBorder="1"/>
    <xf numFmtId="0" fontId="0" fillId="0" borderId="3" xfId="0" applyBorder="1"/>
    <xf numFmtId="0" fontId="15" fillId="4" borderId="0" xfId="0" applyFont="1" applyFill="1" applyAlignment="1">
      <alignment horizontal="center" vertical="center" wrapText="1" shrinkToFi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166" fontId="3" fillId="2" borderId="1" xfId="0" applyNumberFormat="1" applyFont="1" applyFill="1" applyBorder="1"/>
    <xf numFmtId="0" fontId="0" fillId="6" borderId="23" xfId="0" applyFill="1" applyBorder="1"/>
    <xf numFmtId="0" fontId="1" fillId="0" borderId="0" xfId="0" applyFont="1"/>
    <xf numFmtId="0" fontId="14" fillId="2" borderId="1" xfId="0" applyFont="1" applyFill="1" applyBorder="1" applyAlignment="1">
      <alignment textRotation="135"/>
    </xf>
    <xf numFmtId="0" fontId="1" fillId="2" borderId="1" xfId="0" applyFont="1" applyFill="1" applyBorder="1" applyAlignment="1">
      <alignment horizontal="center" vertical="center" textRotation="135"/>
    </xf>
    <xf numFmtId="164" fontId="1" fillId="2" borderId="1" xfId="3" applyFont="1" applyFill="1" applyBorder="1" applyAlignment="1">
      <alignment horizontal="center" vertical="center" textRotation="135"/>
    </xf>
    <xf numFmtId="17" fontId="1" fillId="2" borderId="1" xfId="0" applyNumberFormat="1" applyFont="1" applyFill="1" applyBorder="1" applyAlignment="1">
      <alignment horizontal="center" vertical="center" textRotation="135"/>
    </xf>
    <xf numFmtId="16" fontId="1" fillId="2" borderId="1" xfId="0" applyNumberFormat="1" applyFont="1" applyFill="1" applyBorder="1" applyAlignment="1">
      <alignment textRotation="135"/>
    </xf>
    <xf numFmtId="166" fontId="1" fillId="0" borderId="0" xfId="0" applyNumberFormat="1" applyFont="1"/>
    <xf numFmtId="164" fontId="1" fillId="2" borderId="16" xfId="3" applyFont="1" applyFill="1" applyBorder="1" applyAlignment="1">
      <alignment horizontal="center" vertical="center"/>
    </xf>
    <xf numFmtId="166" fontId="0" fillId="0" borderId="1" xfId="3" applyNumberFormat="1" applyFont="1" applyBorder="1"/>
    <xf numFmtId="166" fontId="0" fillId="0" borderId="0" xfId="3" applyNumberFormat="1" applyFont="1"/>
    <xf numFmtId="166" fontId="1" fillId="0" borderId="1" xfId="3" applyNumberFormat="1" applyFont="1" applyBorder="1"/>
    <xf numFmtId="0" fontId="0" fillId="0" borderId="1" xfId="0" applyBorder="1" applyAlignment="1">
      <alignment horizontal="left"/>
    </xf>
    <xf numFmtId="166" fontId="0" fillId="2" borderId="1" xfId="0" applyNumberFormat="1" applyFill="1" applyBorder="1"/>
    <xf numFmtId="164" fontId="2" fillId="0" borderId="1" xfId="3" applyFont="1" applyFill="1" applyBorder="1" applyAlignment="1">
      <alignment horizontal="center"/>
    </xf>
    <xf numFmtId="164" fontId="12" fillId="0" borderId="1" xfId="3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0" fillId="0" borderId="1" xfId="0" quotePrefix="1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2" fontId="2" fillId="0" borderId="1" xfId="3" applyNumberFormat="1" applyFont="1" applyFill="1" applyBorder="1" applyAlignment="1">
      <alignment horizontal="left"/>
    </xf>
    <xf numFmtId="2" fontId="12" fillId="0" borderId="1" xfId="3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/>
    </xf>
    <xf numFmtId="0" fontId="0" fillId="2" borderId="4" xfId="0" applyFill="1" applyBorder="1" applyAlignment="1">
      <alignment horizontal="left"/>
    </xf>
    <xf numFmtId="165" fontId="0" fillId="2" borderId="4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0" fontId="3" fillId="3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left"/>
    </xf>
    <xf numFmtId="0" fontId="11" fillId="2" borderId="0" xfId="0" quotePrefix="1" applyFont="1" applyFill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0" fillId="6" borderId="24" xfId="0" applyFill="1" applyBorder="1"/>
    <xf numFmtId="0" fontId="0" fillId="6" borderId="22" xfId="0" applyFill="1" applyBorder="1"/>
  </cellXfs>
  <cellStyles count="4">
    <cellStyle name="Currency" xfId="3" builtinId="4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FF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37</xdr:row>
      <xdr:rowOff>0</xdr:rowOff>
    </xdr:from>
    <xdr:to>
      <xdr:col>2</xdr:col>
      <xdr:colOff>3602</xdr:colOff>
      <xdr:row>37</xdr:row>
      <xdr:rowOff>6734</xdr:rowOff>
    </xdr:to>
    <xdr:sp macro="" textlink="">
      <xdr:nvSpPr>
        <xdr:cNvPr id="3" name="Line 314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828800" y="3695700"/>
          <a:ext cx="3602" cy="6734"/>
        </a:xfrm>
        <a:prstGeom prst="line">
          <a:avLst/>
        </a:prstGeom>
        <a:noFill/>
        <a:ln w="20955">
          <a:solidFill>
            <a:srgbClr val="FFFF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33"/>
  <sheetViews>
    <sheetView tabSelected="1" view="pageBreakPreview" zoomScaleNormal="100" zoomScaleSheetLayoutView="100" workbookViewId="0">
      <selection activeCell="Q14" sqref="Q14"/>
    </sheetView>
  </sheetViews>
  <sheetFormatPr defaultColWidth="9.140625" defaultRowHeight="15" x14ac:dyDescent="0.25"/>
  <cols>
    <col min="1" max="1" width="1.85546875" style="7" customWidth="1"/>
    <col min="2" max="2" width="3.7109375" style="7" customWidth="1"/>
    <col min="3" max="7" width="9.140625" style="7"/>
    <col min="8" max="8" width="11.42578125" style="7" bestFit="1" customWidth="1"/>
    <col min="9" max="9" width="3.85546875" style="7" customWidth="1"/>
    <col min="10" max="10" width="3.42578125" style="7" customWidth="1"/>
    <col min="11" max="16384" width="9.140625" style="7"/>
  </cols>
  <sheetData>
    <row r="1" spans="2:9" ht="15.75" thickBot="1" x14ac:dyDescent="0.3"/>
    <row r="2" spans="2:9" ht="15.75" thickTop="1" x14ac:dyDescent="0.25">
      <c r="B2" s="17"/>
      <c r="C2" s="18"/>
      <c r="D2" s="18"/>
      <c r="E2" s="18"/>
      <c r="F2" s="18"/>
      <c r="G2" s="18"/>
      <c r="H2" s="18"/>
      <c r="I2" s="19"/>
    </row>
    <row r="3" spans="2:9" x14ac:dyDescent="0.25">
      <c r="B3" s="20"/>
      <c r="I3" s="21"/>
    </row>
    <row r="4" spans="2:9" x14ac:dyDescent="0.25">
      <c r="B4" s="20"/>
      <c r="I4" s="21"/>
    </row>
    <row r="5" spans="2:9" x14ac:dyDescent="0.25">
      <c r="B5" s="20"/>
      <c r="C5" s="123" t="s">
        <v>75</v>
      </c>
      <c r="D5" s="123"/>
      <c r="E5" s="123"/>
      <c r="F5" s="123"/>
      <c r="G5" s="123"/>
      <c r="H5" s="123"/>
      <c r="I5" s="21"/>
    </row>
    <row r="6" spans="2:9" x14ac:dyDescent="0.25">
      <c r="B6" s="20"/>
      <c r="C6" s="123"/>
      <c r="D6" s="123"/>
      <c r="E6" s="123"/>
      <c r="F6" s="123"/>
      <c r="G6" s="123"/>
      <c r="H6" s="123"/>
      <c r="I6" s="21"/>
    </row>
    <row r="7" spans="2:9" x14ac:dyDescent="0.25">
      <c r="B7" s="20"/>
      <c r="I7" s="21"/>
    </row>
    <row r="8" spans="2:9" x14ac:dyDescent="0.25">
      <c r="B8" s="20"/>
      <c r="I8" s="21"/>
    </row>
    <row r="9" spans="2:9" x14ac:dyDescent="0.25">
      <c r="B9" s="20"/>
      <c r="C9" s="138" t="s">
        <v>73</v>
      </c>
      <c r="D9" s="138"/>
      <c r="E9" s="138"/>
      <c r="F9" s="138"/>
      <c r="G9" s="138"/>
      <c r="H9" s="138"/>
      <c r="I9" s="21"/>
    </row>
    <row r="10" spans="2:9" ht="15.75" thickBot="1" x14ac:dyDescent="0.3">
      <c r="B10" s="20"/>
      <c r="I10" s="21"/>
    </row>
    <row r="11" spans="2:9" ht="16.5" thickTop="1" thickBot="1" x14ac:dyDescent="0.3">
      <c r="B11" s="20"/>
      <c r="C11" s="139" t="s">
        <v>0</v>
      </c>
      <c r="D11" s="139"/>
      <c r="F11" s="140" t="s">
        <v>74</v>
      </c>
      <c r="G11" s="140"/>
      <c r="H11" s="140"/>
      <c r="I11" s="21"/>
    </row>
    <row r="12" spans="2:9" ht="16.5" thickTop="1" thickBot="1" x14ac:dyDescent="0.3">
      <c r="B12" s="20"/>
      <c r="C12" s="139" t="s">
        <v>1</v>
      </c>
      <c r="D12" s="139"/>
      <c r="F12" s="120" t="s">
        <v>91</v>
      </c>
      <c r="G12" s="120"/>
      <c r="H12" s="120"/>
      <c r="I12" s="21"/>
    </row>
    <row r="13" spans="2:9" ht="16.5" thickTop="1" thickBot="1" x14ac:dyDescent="0.3">
      <c r="B13" s="20"/>
      <c r="F13" s="147"/>
      <c r="G13" s="93" t="s">
        <v>114</v>
      </c>
      <c r="H13" s="146"/>
      <c r="I13" s="21"/>
    </row>
    <row r="14" spans="2:9" x14ac:dyDescent="0.25">
      <c r="B14" s="20"/>
      <c r="I14" s="21"/>
    </row>
    <row r="15" spans="2:9" x14ac:dyDescent="0.25">
      <c r="B15" s="20"/>
      <c r="I15" s="21"/>
    </row>
    <row r="16" spans="2:9" ht="15.75" thickBot="1" x14ac:dyDescent="0.3">
      <c r="B16" s="20"/>
      <c r="I16" s="21"/>
    </row>
    <row r="17" spans="2:18" ht="16.5" thickTop="1" thickBot="1" x14ac:dyDescent="0.3">
      <c r="B17" s="20"/>
      <c r="C17" s="132" t="s">
        <v>2</v>
      </c>
      <c r="D17" s="132"/>
      <c r="E17" s="132"/>
      <c r="F17" s="132"/>
      <c r="G17" s="132"/>
      <c r="H17" s="132"/>
      <c r="I17" s="21"/>
    </row>
    <row r="18" spans="2:18" ht="16.5" thickTop="1" thickBot="1" x14ac:dyDescent="0.3">
      <c r="B18" s="20"/>
      <c r="C18" s="132"/>
      <c r="D18" s="132"/>
      <c r="E18" s="132"/>
      <c r="F18" s="132"/>
      <c r="G18" s="132"/>
      <c r="H18" s="132"/>
      <c r="I18" s="21"/>
    </row>
    <row r="19" spans="2:18" ht="16.5" thickTop="1" thickBot="1" x14ac:dyDescent="0.3">
      <c r="B19" s="20"/>
      <c r="C19" s="132"/>
      <c r="D19" s="132"/>
      <c r="E19" s="132"/>
      <c r="F19" s="132"/>
      <c r="G19" s="132"/>
      <c r="H19" s="132"/>
      <c r="I19" s="21"/>
    </row>
    <row r="20" spans="2:18" ht="15.75" thickTop="1" x14ac:dyDescent="0.25">
      <c r="B20" s="20"/>
      <c r="C20" s="22"/>
      <c r="D20" s="22"/>
      <c r="E20" s="22"/>
      <c r="F20" s="22"/>
      <c r="G20" s="22"/>
      <c r="H20" s="22"/>
      <c r="I20" s="21"/>
    </row>
    <row r="21" spans="2:18" ht="15.75" thickBot="1" x14ac:dyDescent="0.3">
      <c r="B21" s="20"/>
      <c r="I21" s="21"/>
    </row>
    <row r="22" spans="2:18" ht="16.5" thickTop="1" thickBot="1" x14ac:dyDescent="0.3">
      <c r="B22" s="20"/>
      <c r="C22" s="122" t="s">
        <v>3</v>
      </c>
      <c r="D22" s="122"/>
      <c r="E22" s="122"/>
      <c r="G22" s="121">
        <v>240171.82</v>
      </c>
      <c r="H22" s="121"/>
      <c r="I22" s="21"/>
    </row>
    <row r="23" spans="2:18" ht="16.5" thickTop="1" thickBot="1" x14ac:dyDescent="0.3">
      <c r="B23" s="20"/>
      <c r="C23" s="118" t="s">
        <v>4</v>
      </c>
      <c r="D23" s="118"/>
      <c r="E23" s="118"/>
      <c r="G23" s="119">
        <v>30179.279999999999</v>
      </c>
      <c r="H23" s="119"/>
      <c r="I23" s="21"/>
    </row>
    <row r="24" spans="2:18" ht="16.5" thickTop="1" thickBot="1" x14ac:dyDescent="0.3">
      <c r="B24" s="20"/>
      <c r="C24" s="118" t="s">
        <v>5</v>
      </c>
      <c r="D24" s="118"/>
      <c r="E24" s="118"/>
      <c r="G24" s="119">
        <v>29897.91</v>
      </c>
      <c r="H24" s="119"/>
      <c r="I24" s="21"/>
    </row>
    <row r="25" spans="2:18" ht="16.5" thickTop="1" thickBot="1" x14ac:dyDescent="0.3">
      <c r="B25" s="20"/>
      <c r="C25" s="118" t="s">
        <v>6</v>
      </c>
      <c r="D25" s="118"/>
      <c r="E25" s="118"/>
      <c r="G25" s="119">
        <v>0</v>
      </c>
      <c r="H25" s="119"/>
      <c r="I25" s="21"/>
    </row>
    <row r="26" spans="2:18" x14ac:dyDescent="0.25">
      <c r="B26" s="20"/>
      <c r="C26" s="118" t="s">
        <v>7</v>
      </c>
      <c r="D26" s="118"/>
      <c r="E26" s="118"/>
      <c r="G26" s="119">
        <v>4939.49</v>
      </c>
      <c r="H26" s="119"/>
      <c r="I26" s="21"/>
      <c r="N26" s="7" t="s">
        <v>8</v>
      </c>
    </row>
    <row r="27" spans="2:18" x14ac:dyDescent="0.25">
      <c r="B27" s="20"/>
      <c r="C27" s="118" t="s">
        <v>9</v>
      </c>
      <c r="D27" s="118"/>
      <c r="E27" s="118"/>
      <c r="G27" s="119">
        <f>G22*10/100</f>
        <v>24017.182000000001</v>
      </c>
      <c r="H27" s="119"/>
      <c r="I27" s="21"/>
    </row>
    <row r="28" spans="2:18" ht="16.5" thickTop="1" thickBot="1" x14ac:dyDescent="0.3">
      <c r="B28" s="20"/>
      <c r="C28" s="133" t="s">
        <v>10</v>
      </c>
      <c r="D28" s="134"/>
      <c r="E28" s="135"/>
      <c r="G28" s="136"/>
      <c r="H28" s="137"/>
      <c r="I28" s="21"/>
    </row>
    <row r="29" spans="2:18" ht="16.5" thickTop="1" thickBot="1" x14ac:dyDescent="0.3">
      <c r="B29" s="20"/>
      <c r="C29" s="129"/>
      <c r="D29" s="130"/>
      <c r="E29" s="130"/>
      <c r="F29" s="130"/>
      <c r="G29" s="130"/>
      <c r="H29" s="131"/>
      <c r="I29" s="21"/>
      <c r="R29" s="7">
        <v>0</v>
      </c>
    </row>
    <row r="30" spans="2:18" ht="16.5" thickTop="1" thickBot="1" x14ac:dyDescent="0.3">
      <c r="B30" s="20"/>
      <c r="C30" s="126" t="s">
        <v>11</v>
      </c>
      <c r="D30" s="126"/>
      <c r="E30" s="126"/>
      <c r="F30" s="1"/>
      <c r="G30" s="127">
        <f>G22-SUM(G23:H28)</f>
        <v>151137.95800000001</v>
      </c>
      <c r="H30" s="128"/>
      <c r="I30" s="21"/>
    </row>
    <row r="31" spans="2:18" ht="16.5" thickTop="1" thickBot="1" x14ac:dyDescent="0.3">
      <c r="B31" s="28"/>
      <c r="C31" s="124" t="s">
        <v>12</v>
      </c>
      <c r="D31" s="124"/>
      <c r="E31" s="124"/>
      <c r="F31" s="39"/>
      <c r="G31" s="125">
        <f>G30/G22</f>
        <v>0.62929097177179238</v>
      </c>
      <c r="H31" s="125"/>
      <c r="I31" s="29"/>
    </row>
    <row r="32" spans="2:18" ht="16.5" thickTop="1" thickBot="1" x14ac:dyDescent="0.3">
      <c r="B32" s="23"/>
      <c r="I32" s="24"/>
    </row>
    <row r="33" ht="15.75" thickTop="1" x14ac:dyDescent="0.25"/>
  </sheetData>
  <mergeCells count="26">
    <mergeCell ref="C5:H6"/>
    <mergeCell ref="C31:E31"/>
    <mergeCell ref="G31:H31"/>
    <mergeCell ref="G26:H26"/>
    <mergeCell ref="C25:E25"/>
    <mergeCell ref="G25:H25"/>
    <mergeCell ref="C30:E30"/>
    <mergeCell ref="G30:H30"/>
    <mergeCell ref="C29:H29"/>
    <mergeCell ref="C17:H19"/>
    <mergeCell ref="C28:E28"/>
    <mergeCell ref="G28:H28"/>
    <mergeCell ref="C9:H9"/>
    <mergeCell ref="C11:D11"/>
    <mergeCell ref="C12:D12"/>
    <mergeCell ref="F11:H11"/>
    <mergeCell ref="F12:H12"/>
    <mergeCell ref="G22:H22"/>
    <mergeCell ref="C22:E22"/>
    <mergeCell ref="G23:H23"/>
    <mergeCell ref="G24:H24"/>
    <mergeCell ref="C27:E27"/>
    <mergeCell ref="G27:H27"/>
    <mergeCell ref="C26:E26"/>
    <mergeCell ref="C23:E23"/>
    <mergeCell ref="C24:E24"/>
  </mergeCells>
  <printOptions horizontalCentered="1" verticalCentered="1"/>
  <pageMargins left="0.31496062992125984" right="0.31496062992125984" top="0.19685039370078741" bottom="0.19685039370078741" header="0.31496062992125984" footer="0.31496062992125984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CF80-D7D6-4C1E-A524-4750B5159A98}">
  <dimension ref="A1:F10"/>
  <sheetViews>
    <sheetView workbookViewId="0">
      <selection activeCell="D3" sqref="D3"/>
    </sheetView>
  </sheetViews>
  <sheetFormatPr defaultRowHeight="15" x14ac:dyDescent="0.25"/>
  <cols>
    <col min="1" max="1" width="24.140625" customWidth="1"/>
    <col min="3" max="3" width="13.5703125" customWidth="1"/>
  </cols>
  <sheetData>
    <row r="1" spans="1:6" x14ac:dyDescent="0.25">
      <c r="A1" s="141"/>
      <c r="B1" s="142"/>
      <c r="D1" s="58" t="s">
        <v>13</v>
      </c>
      <c r="E1" s="48"/>
      <c r="F1" s="48"/>
    </row>
    <row r="3" spans="1:6" x14ac:dyDescent="0.25">
      <c r="A3" s="56"/>
      <c r="B3" s="56" t="s">
        <v>14</v>
      </c>
      <c r="C3" s="56" t="s">
        <v>15</v>
      </c>
      <c r="D3" s="57"/>
      <c r="E3" s="56"/>
      <c r="F3" s="56"/>
    </row>
    <row r="4" spans="1:6" x14ac:dyDescent="0.25">
      <c r="A4" s="37" t="s">
        <v>16</v>
      </c>
      <c r="B4" s="37">
        <v>9.26</v>
      </c>
      <c r="C4" s="37" t="s">
        <v>17</v>
      </c>
      <c r="D4" s="37"/>
      <c r="E4" s="37"/>
      <c r="F4" s="37"/>
    </row>
    <row r="5" spans="1:6" x14ac:dyDescent="0.25">
      <c r="A5" s="37" t="s">
        <v>18</v>
      </c>
      <c r="B5" s="37"/>
      <c r="C5" s="37"/>
      <c r="D5" s="37"/>
      <c r="E5" s="37"/>
      <c r="F5" s="37"/>
    </row>
    <row r="6" spans="1:6" x14ac:dyDescent="0.25">
      <c r="A6" s="37" t="s">
        <v>19</v>
      </c>
      <c r="B6" s="37"/>
      <c r="C6" s="37" t="s">
        <v>20</v>
      </c>
      <c r="D6" s="37"/>
      <c r="E6" s="37"/>
      <c r="F6" s="37"/>
    </row>
    <row r="7" spans="1:6" x14ac:dyDescent="0.25">
      <c r="A7" s="37" t="s">
        <v>21</v>
      </c>
      <c r="B7" s="37"/>
      <c r="C7" s="37" t="s">
        <v>20</v>
      </c>
      <c r="D7" s="37"/>
      <c r="E7" s="37"/>
      <c r="F7" s="37"/>
    </row>
    <row r="8" spans="1:6" x14ac:dyDescent="0.25">
      <c r="A8" s="37" t="s">
        <v>22</v>
      </c>
      <c r="B8" s="37"/>
      <c r="C8" s="37" t="s">
        <v>17</v>
      </c>
      <c r="D8" s="37"/>
      <c r="E8" s="37"/>
      <c r="F8" s="37"/>
    </row>
    <row r="9" spans="1:6" x14ac:dyDescent="0.25">
      <c r="A9" s="37" t="s">
        <v>23</v>
      </c>
      <c r="B9" s="37"/>
      <c r="C9" s="37" t="s">
        <v>17</v>
      </c>
      <c r="D9" s="37"/>
      <c r="E9" s="37"/>
      <c r="F9" s="37"/>
    </row>
    <row r="10" spans="1:6" x14ac:dyDescent="0.25">
      <c r="A10" s="37"/>
      <c r="B10" s="37"/>
      <c r="C10" s="37"/>
      <c r="D10" s="37"/>
      <c r="E10" s="37"/>
      <c r="F10" s="37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3"/>
  <sheetViews>
    <sheetView zoomScaleNormal="100" workbookViewId="0">
      <selection activeCell="B15" sqref="B12:B15"/>
    </sheetView>
  </sheetViews>
  <sheetFormatPr defaultColWidth="9.140625" defaultRowHeight="15" x14ac:dyDescent="0.25"/>
  <cols>
    <col min="1" max="1" width="12.28515625" style="7" customWidth="1"/>
    <col min="2" max="2" width="22.42578125" style="7" customWidth="1"/>
    <col min="3" max="3" width="36.28515625" style="7" customWidth="1"/>
    <col min="4" max="4" width="22.7109375" style="7" customWidth="1"/>
    <col min="5" max="5" width="31.28515625" style="7" customWidth="1"/>
    <col min="6" max="6" width="11.5703125" style="7" bestFit="1" customWidth="1"/>
    <col min="7" max="16384" width="9.140625" style="7"/>
  </cols>
  <sheetData>
    <row r="1" spans="1:11" s="1" customFormat="1" ht="30" customHeight="1" x14ac:dyDescent="0.25">
      <c r="A1" s="144" t="s">
        <v>24</v>
      </c>
      <c r="B1" s="144"/>
      <c r="C1" s="144"/>
      <c r="D1" s="144"/>
      <c r="E1" s="144"/>
      <c r="F1" s="144"/>
      <c r="G1" s="144"/>
      <c r="H1" s="6"/>
      <c r="I1" s="6"/>
      <c r="J1" s="6"/>
      <c r="K1" s="6"/>
    </row>
    <row r="2" spans="1:11" s="1" customFormat="1" ht="30" customHeight="1" x14ac:dyDescent="0.25">
      <c r="A2" s="144"/>
      <c r="B2" s="144"/>
      <c r="C2" s="144"/>
      <c r="D2" s="144"/>
      <c r="E2" s="144"/>
      <c r="F2" s="144"/>
      <c r="G2" s="144"/>
      <c r="H2" s="6"/>
      <c r="I2" s="6"/>
      <c r="J2" s="6"/>
      <c r="K2" s="6"/>
    </row>
    <row r="4" spans="1:11" x14ac:dyDescent="0.25">
      <c r="A4" s="15" t="s">
        <v>25</v>
      </c>
      <c r="B4" s="15" t="s">
        <v>26</v>
      </c>
      <c r="C4" s="15" t="s">
        <v>27</v>
      </c>
      <c r="D4" s="15" t="s">
        <v>28</v>
      </c>
      <c r="E4" s="16" t="s">
        <v>29</v>
      </c>
    </row>
    <row r="5" spans="1:11" ht="16.5" x14ac:dyDescent="0.25">
      <c r="A5" s="31"/>
      <c r="B5" s="13"/>
      <c r="C5" s="15"/>
      <c r="D5" s="15"/>
      <c r="E5" s="54">
        <v>1130370.95</v>
      </c>
    </row>
    <row r="6" spans="1:11" ht="16.5" x14ac:dyDescent="0.25">
      <c r="A6" s="31"/>
      <c r="B6" s="13"/>
      <c r="C6" s="15"/>
      <c r="D6" s="15"/>
      <c r="E6" s="16"/>
    </row>
    <row r="7" spans="1:11" x14ac:dyDescent="0.25">
      <c r="A7" s="143" t="s">
        <v>30</v>
      </c>
      <c r="B7" s="143"/>
      <c r="C7" s="143"/>
      <c r="D7" s="143"/>
      <c r="E7" s="41">
        <v>1130370.95</v>
      </c>
    </row>
    <row r="8" spans="1:11" x14ac:dyDescent="0.25">
      <c r="E8" s="40"/>
    </row>
    <row r="29" spans="6:6" x14ac:dyDescent="0.25">
      <c r="F29" s="7" t="s">
        <v>8</v>
      </c>
    </row>
    <row r="33" spans="12:12" x14ac:dyDescent="0.25">
      <c r="L33" s="7" t="s">
        <v>8</v>
      </c>
    </row>
  </sheetData>
  <mergeCells count="3">
    <mergeCell ref="A7:D7"/>
    <mergeCell ref="A1:G1"/>
    <mergeCell ref="A2:G2"/>
  </mergeCells>
  <phoneticPr fontId="1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1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"/>
  <sheetViews>
    <sheetView topLeftCell="A2" zoomScaleNormal="100" workbookViewId="0">
      <selection activeCell="H91" sqref="H91"/>
    </sheetView>
  </sheetViews>
  <sheetFormatPr defaultColWidth="8.85546875" defaultRowHeight="15" x14ac:dyDescent="0.25"/>
  <cols>
    <col min="1" max="1" width="49.7109375" style="2" customWidth="1"/>
    <col min="2" max="2" width="41.85546875" style="2" hidden="1" customWidth="1"/>
    <col min="3" max="3" width="23.28515625" style="2" customWidth="1"/>
    <col min="4" max="4" width="22.5703125" style="2" customWidth="1"/>
    <col min="5" max="5" width="18.28515625" style="4" customWidth="1"/>
    <col min="6" max="6" width="0.140625" style="1" hidden="1" customWidth="1"/>
    <col min="7" max="7" width="14" style="1" hidden="1" customWidth="1"/>
    <col min="8" max="8" width="29" style="1" customWidth="1"/>
    <col min="9" max="9" width="22.140625" style="1" customWidth="1"/>
    <col min="10" max="16384" width="8.85546875" style="1"/>
  </cols>
  <sheetData>
    <row r="1" spans="1:10" ht="3.75" hidden="1" customHeight="1" x14ac:dyDescent="0.25">
      <c r="A1" s="145"/>
      <c r="B1" s="145"/>
      <c r="C1" s="145"/>
      <c r="D1" s="145"/>
      <c r="E1" s="145"/>
    </row>
    <row r="2" spans="1:10" ht="30" customHeight="1" x14ac:dyDescent="0.25">
      <c r="A2" s="144"/>
      <c r="B2" s="144"/>
      <c r="C2" s="144"/>
      <c r="D2" s="144"/>
      <c r="E2" s="144"/>
      <c r="F2" s="144"/>
      <c r="G2" s="6"/>
      <c r="H2" s="6"/>
      <c r="I2" s="6"/>
      <c r="J2" s="6"/>
    </row>
    <row r="3" spans="1:10" ht="30" customHeight="1" x14ac:dyDescent="0.25">
      <c r="A3" s="144" t="s">
        <v>74</v>
      </c>
      <c r="B3" s="144"/>
      <c r="C3" s="144"/>
      <c r="D3" s="144"/>
      <c r="E3" s="144"/>
      <c r="F3" s="144"/>
      <c r="G3" s="6"/>
      <c r="H3" s="6"/>
      <c r="I3" s="6"/>
      <c r="J3" s="6"/>
    </row>
    <row r="4" spans="1:10" s="7" customFormat="1" x14ac:dyDescent="0.25">
      <c r="A4" s="2"/>
      <c r="B4" s="2"/>
      <c r="C4" s="2"/>
      <c r="D4" s="2"/>
      <c r="E4" s="4"/>
      <c r="F4" s="1"/>
      <c r="G4" s="1"/>
      <c r="H4" s="1"/>
      <c r="I4" s="1"/>
      <c r="J4" s="1"/>
    </row>
    <row r="5" spans="1:10" s="3" customFormat="1" ht="90" x14ac:dyDescent="0.25">
      <c r="A5" s="89" t="s">
        <v>31</v>
      </c>
      <c r="B5" s="90" t="s">
        <v>31</v>
      </c>
      <c r="C5" s="68" t="s">
        <v>32</v>
      </c>
      <c r="D5" s="90" t="s">
        <v>33</v>
      </c>
      <c r="E5" s="68" t="s">
        <v>34</v>
      </c>
      <c r="F5" s="68" t="s">
        <v>35</v>
      </c>
      <c r="G5" s="90" t="s">
        <v>34</v>
      </c>
      <c r="H5" s="68" t="s">
        <v>36</v>
      </c>
      <c r="I5" s="91" t="s">
        <v>30</v>
      </c>
      <c r="J5" s="1"/>
    </row>
    <row r="6" spans="1:10" s="3" customFormat="1" ht="28.5" customHeight="1" x14ac:dyDescent="0.25">
      <c r="A6" s="112" t="s">
        <v>92</v>
      </c>
      <c r="B6" s="63"/>
      <c r="C6" s="63" t="s">
        <v>93</v>
      </c>
      <c r="D6" s="112" t="s">
        <v>94</v>
      </c>
      <c r="E6" s="63">
        <v>1</v>
      </c>
      <c r="F6" s="63"/>
      <c r="G6" s="83"/>
      <c r="H6" s="66">
        <v>415</v>
      </c>
      <c r="I6" s="47">
        <f t="shared" ref="I6:I12" si="0">H6*E6</f>
        <v>415</v>
      </c>
      <c r="J6" s="1"/>
    </row>
    <row r="7" spans="1:10" s="3" customFormat="1" ht="24.75" customHeight="1" x14ac:dyDescent="0.25">
      <c r="A7" s="112" t="s">
        <v>95</v>
      </c>
      <c r="B7" s="63"/>
      <c r="C7" s="63" t="s">
        <v>93</v>
      </c>
      <c r="D7" s="112" t="s">
        <v>94</v>
      </c>
      <c r="E7" s="63">
        <v>3</v>
      </c>
      <c r="F7" s="63"/>
      <c r="G7" s="83"/>
      <c r="H7" s="66">
        <v>530</v>
      </c>
      <c r="I7" s="47">
        <f t="shared" si="0"/>
        <v>1590</v>
      </c>
      <c r="J7" s="1"/>
    </row>
    <row r="8" spans="1:10" s="3" customFormat="1" ht="18.75" customHeight="1" x14ac:dyDescent="0.25">
      <c r="A8" s="112" t="s">
        <v>96</v>
      </c>
      <c r="B8" s="63"/>
      <c r="C8" s="63" t="s">
        <v>93</v>
      </c>
      <c r="D8" s="112" t="s">
        <v>94</v>
      </c>
      <c r="E8" s="63">
        <v>5</v>
      </c>
      <c r="F8" s="63"/>
      <c r="G8" s="83"/>
      <c r="H8" s="66">
        <v>129.88</v>
      </c>
      <c r="I8" s="47">
        <f t="shared" si="0"/>
        <v>649.4</v>
      </c>
      <c r="J8" s="1"/>
    </row>
    <row r="9" spans="1:10" s="3" customFormat="1" ht="18.75" customHeight="1" x14ac:dyDescent="0.25">
      <c r="A9" s="112" t="s">
        <v>97</v>
      </c>
      <c r="B9" s="63"/>
      <c r="C9" s="63" t="s">
        <v>93</v>
      </c>
      <c r="D9" s="112" t="s">
        <v>94</v>
      </c>
      <c r="E9" s="63">
        <v>168</v>
      </c>
      <c r="F9" s="63"/>
      <c r="G9" s="83"/>
      <c r="H9" s="66">
        <v>10</v>
      </c>
      <c r="I9" s="72">
        <f t="shared" si="0"/>
        <v>1680</v>
      </c>
      <c r="J9" s="70"/>
    </row>
    <row r="10" spans="1:10" s="3" customFormat="1" ht="21.75" customHeight="1" x14ac:dyDescent="0.25">
      <c r="A10" s="112" t="s">
        <v>98</v>
      </c>
      <c r="B10" s="63"/>
      <c r="C10" s="63" t="s">
        <v>93</v>
      </c>
      <c r="D10" s="112" t="s">
        <v>94</v>
      </c>
      <c r="E10" s="63">
        <v>3</v>
      </c>
      <c r="F10" s="63"/>
      <c r="G10" s="83"/>
      <c r="H10" s="66">
        <v>144</v>
      </c>
      <c r="I10" s="72">
        <f t="shared" si="0"/>
        <v>432</v>
      </c>
      <c r="J10" s="69"/>
    </row>
    <row r="11" spans="1:10" s="3" customFormat="1" ht="24" customHeight="1" x14ac:dyDescent="0.25">
      <c r="A11" s="112" t="s">
        <v>99</v>
      </c>
      <c r="B11" s="63"/>
      <c r="C11" s="63" t="s">
        <v>93</v>
      </c>
      <c r="D11" s="112" t="s">
        <v>94</v>
      </c>
      <c r="E11" s="63">
        <v>1</v>
      </c>
      <c r="F11" s="63"/>
      <c r="G11" s="83"/>
      <c r="H11" s="66">
        <v>453</v>
      </c>
      <c r="I11" s="72">
        <f t="shared" si="0"/>
        <v>453</v>
      </c>
      <c r="J11" s="69"/>
    </row>
    <row r="12" spans="1:10" s="3" customFormat="1" ht="14.25" customHeight="1" x14ac:dyDescent="0.25">
      <c r="A12" s="112" t="s">
        <v>110</v>
      </c>
      <c r="B12" s="63"/>
      <c r="C12" s="63" t="s">
        <v>93</v>
      </c>
      <c r="D12" s="112" t="s">
        <v>109</v>
      </c>
      <c r="E12" s="63">
        <v>900</v>
      </c>
      <c r="F12" s="63"/>
      <c r="G12" s="83"/>
      <c r="H12" s="66">
        <v>20</v>
      </c>
      <c r="I12" s="72">
        <f t="shared" si="0"/>
        <v>18000</v>
      </c>
      <c r="J12" s="69"/>
    </row>
    <row r="13" spans="1:10" s="3" customFormat="1" hidden="1" x14ac:dyDescent="0.25">
      <c r="A13" s="116" t="s">
        <v>111</v>
      </c>
      <c r="B13" s="71"/>
      <c r="C13" s="63" t="s">
        <v>93</v>
      </c>
      <c r="D13" s="113" t="s">
        <v>109</v>
      </c>
      <c r="E13" s="107">
        <v>300</v>
      </c>
      <c r="F13" s="72"/>
      <c r="G13" s="86"/>
      <c r="H13" s="72">
        <v>11.44</v>
      </c>
      <c r="I13" s="72"/>
      <c r="J13" s="69"/>
    </row>
    <row r="14" spans="1:10" s="3" customFormat="1" ht="15" hidden="1" customHeight="1" x14ac:dyDescent="0.25">
      <c r="A14" s="116"/>
      <c r="B14" s="71"/>
      <c r="C14" s="63" t="s">
        <v>93</v>
      </c>
      <c r="D14" s="113" t="s">
        <v>109</v>
      </c>
      <c r="E14" s="107">
        <v>1</v>
      </c>
      <c r="F14" s="72"/>
      <c r="G14" s="86"/>
      <c r="H14" s="72">
        <v>56.51</v>
      </c>
      <c r="I14" s="72"/>
      <c r="J14" s="69"/>
    </row>
    <row r="15" spans="1:10" s="3" customFormat="1" ht="15" hidden="1" customHeight="1" x14ac:dyDescent="0.25">
      <c r="A15" s="116"/>
      <c r="B15" s="71"/>
      <c r="C15" s="63" t="s">
        <v>93</v>
      </c>
      <c r="D15" s="113" t="s">
        <v>94</v>
      </c>
      <c r="E15" s="107">
        <v>2</v>
      </c>
      <c r="F15" s="72"/>
      <c r="G15" s="86"/>
      <c r="H15" s="72">
        <v>679</v>
      </c>
      <c r="I15" s="72"/>
      <c r="J15" s="69"/>
    </row>
    <row r="16" spans="1:10" ht="15" hidden="1" customHeight="1" x14ac:dyDescent="0.25">
      <c r="A16" s="116"/>
      <c r="B16" s="71"/>
      <c r="C16" s="63" t="s">
        <v>93</v>
      </c>
      <c r="D16" s="113" t="s">
        <v>94</v>
      </c>
      <c r="E16" s="107">
        <v>2</v>
      </c>
      <c r="F16" s="72"/>
      <c r="G16" s="86"/>
      <c r="H16" s="72">
        <v>665</v>
      </c>
      <c r="I16" s="72"/>
      <c r="J16" s="69"/>
    </row>
    <row r="17" spans="1:10" ht="15" hidden="1" customHeight="1" x14ac:dyDescent="0.25">
      <c r="A17" s="116"/>
      <c r="B17" s="71"/>
      <c r="C17" s="63" t="s">
        <v>93</v>
      </c>
      <c r="D17" s="113"/>
      <c r="E17" s="107"/>
      <c r="F17" s="72"/>
      <c r="G17" s="86"/>
      <c r="H17" s="72"/>
      <c r="I17" s="72"/>
      <c r="J17" s="69"/>
    </row>
    <row r="18" spans="1:10" ht="15" hidden="1" customHeight="1" x14ac:dyDescent="0.25">
      <c r="A18" s="73"/>
      <c r="B18" s="71"/>
      <c r="C18" s="63" t="s">
        <v>93</v>
      </c>
      <c r="D18" s="114"/>
      <c r="E18" s="107"/>
      <c r="F18" s="72"/>
      <c r="G18" s="86"/>
      <c r="H18" s="72"/>
      <c r="I18" s="72"/>
      <c r="J18" s="69"/>
    </row>
    <row r="19" spans="1:10" ht="15" hidden="1" customHeight="1" x14ac:dyDescent="0.25">
      <c r="A19" s="73"/>
      <c r="B19" s="71"/>
      <c r="C19" s="63" t="s">
        <v>93</v>
      </c>
      <c r="D19" s="114"/>
      <c r="E19" s="107"/>
      <c r="F19" s="72"/>
      <c r="G19" s="86"/>
      <c r="H19" s="72"/>
      <c r="I19" s="72"/>
      <c r="J19" s="69"/>
    </row>
    <row r="20" spans="1:10" ht="15" hidden="1" customHeight="1" x14ac:dyDescent="0.25">
      <c r="A20" s="73"/>
      <c r="B20" s="71"/>
      <c r="C20" s="63" t="s">
        <v>93</v>
      </c>
      <c r="D20" s="114"/>
      <c r="E20" s="107"/>
      <c r="F20" s="72"/>
      <c r="G20" s="86"/>
      <c r="H20" s="72"/>
      <c r="I20" s="72"/>
      <c r="J20" s="69"/>
    </row>
    <row r="21" spans="1:10" ht="15" hidden="1" customHeight="1" x14ac:dyDescent="0.25">
      <c r="A21" s="73"/>
      <c r="B21" s="71"/>
      <c r="C21" s="63" t="s">
        <v>93</v>
      </c>
      <c r="D21" s="114"/>
      <c r="E21" s="107"/>
      <c r="F21" s="72"/>
      <c r="G21" s="86"/>
      <c r="H21" s="72"/>
      <c r="I21" s="72"/>
      <c r="J21" s="69"/>
    </row>
    <row r="22" spans="1:10" ht="15" hidden="1" customHeight="1" x14ac:dyDescent="0.25">
      <c r="A22" s="73"/>
      <c r="B22" s="71"/>
      <c r="C22" s="63" t="s">
        <v>93</v>
      </c>
      <c r="D22" s="114"/>
      <c r="E22" s="107"/>
      <c r="F22" s="72"/>
      <c r="G22" s="86"/>
      <c r="H22" s="72"/>
      <c r="I22" s="72"/>
      <c r="J22" s="69"/>
    </row>
    <row r="23" spans="1:10" ht="15" hidden="1" customHeight="1" x14ac:dyDescent="0.25">
      <c r="A23" s="73"/>
      <c r="B23" s="71"/>
      <c r="C23" s="63" t="s">
        <v>93</v>
      </c>
      <c r="D23" s="114"/>
      <c r="E23" s="107"/>
      <c r="F23" s="72"/>
      <c r="G23" s="86"/>
      <c r="H23" s="72"/>
      <c r="I23" s="72"/>
      <c r="J23" s="69"/>
    </row>
    <row r="24" spans="1:10" ht="15" hidden="1" customHeight="1" x14ac:dyDescent="0.25">
      <c r="A24" s="73"/>
      <c r="B24" s="71"/>
      <c r="C24" s="63" t="s">
        <v>93</v>
      </c>
      <c r="D24" s="114"/>
      <c r="E24" s="107"/>
      <c r="F24" s="72"/>
      <c r="G24" s="86"/>
      <c r="H24" s="72"/>
      <c r="I24" s="72"/>
      <c r="J24" s="69"/>
    </row>
    <row r="25" spans="1:10" ht="15" hidden="1" customHeight="1" x14ac:dyDescent="0.25">
      <c r="A25" s="73"/>
      <c r="B25" s="71"/>
      <c r="C25" s="63" t="s">
        <v>93</v>
      </c>
      <c r="D25" s="114"/>
      <c r="E25" s="107"/>
      <c r="F25" s="72"/>
      <c r="G25" s="86"/>
      <c r="H25" s="72"/>
      <c r="I25" s="72"/>
      <c r="J25" s="69"/>
    </row>
    <row r="26" spans="1:10" ht="15" hidden="1" customHeight="1" x14ac:dyDescent="0.25">
      <c r="A26" s="73"/>
      <c r="B26" s="71"/>
      <c r="C26" s="63" t="s">
        <v>93</v>
      </c>
      <c r="D26" s="114"/>
      <c r="E26" s="107"/>
      <c r="F26" s="72"/>
      <c r="G26" s="86"/>
      <c r="H26" s="72"/>
      <c r="I26" s="72"/>
      <c r="J26" s="69"/>
    </row>
    <row r="27" spans="1:10" ht="15" hidden="1" customHeight="1" x14ac:dyDescent="0.25">
      <c r="A27" s="73"/>
      <c r="B27" s="71"/>
      <c r="C27" s="63" t="s">
        <v>93</v>
      </c>
      <c r="D27" s="114"/>
      <c r="E27" s="107"/>
      <c r="F27" s="72"/>
      <c r="G27" s="86"/>
      <c r="H27" s="72"/>
      <c r="I27" s="72"/>
      <c r="J27" s="69"/>
    </row>
    <row r="28" spans="1:10" ht="15" hidden="1" customHeight="1" x14ac:dyDescent="0.25">
      <c r="A28" s="73"/>
      <c r="B28" s="71"/>
      <c r="C28" s="63" t="s">
        <v>93</v>
      </c>
      <c r="D28" s="114"/>
      <c r="E28" s="107"/>
      <c r="F28" s="72"/>
      <c r="G28" s="86"/>
      <c r="H28" s="72"/>
      <c r="I28" s="72"/>
      <c r="J28" s="69"/>
    </row>
    <row r="29" spans="1:10" ht="15" hidden="1" customHeight="1" x14ac:dyDescent="0.25">
      <c r="A29" s="73"/>
      <c r="B29" s="71"/>
      <c r="C29" s="63" t="s">
        <v>93</v>
      </c>
      <c r="D29" s="114"/>
      <c r="E29" s="107"/>
      <c r="F29" s="72"/>
      <c r="G29" s="86"/>
      <c r="H29" s="72"/>
      <c r="I29" s="72"/>
      <c r="J29" s="69"/>
    </row>
    <row r="30" spans="1:10" ht="15" hidden="1" customHeight="1" x14ac:dyDescent="0.25">
      <c r="A30" s="74"/>
      <c r="B30" s="71"/>
      <c r="C30" s="63" t="s">
        <v>93</v>
      </c>
      <c r="D30" s="115"/>
      <c r="E30" s="108"/>
      <c r="F30" s="72"/>
      <c r="G30" s="86"/>
      <c r="H30" s="72"/>
      <c r="I30" s="72"/>
      <c r="J30" s="69"/>
    </row>
    <row r="31" spans="1:10" ht="15" hidden="1" customHeight="1" x14ac:dyDescent="0.25">
      <c r="A31" s="74"/>
      <c r="B31" s="71"/>
      <c r="C31" s="63" t="s">
        <v>93</v>
      </c>
      <c r="D31" s="115"/>
      <c r="E31" s="108"/>
      <c r="F31" s="72"/>
      <c r="G31" s="86"/>
      <c r="H31" s="72"/>
      <c r="I31" s="72"/>
      <c r="J31" s="69"/>
    </row>
    <row r="32" spans="1:10" ht="15" hidden="1" customHeight="1" x14ac:dyDescent="0.25">
      <c r="A32" s="73"/>
      <c r="B32" s="71"/>
      <c r="C32" s="63" t="s">
        <v>93</v>
      </c>
      <c r="D32" s="114"/>
      <c r="E32" s="107"/>
      <c r="F32" s="72"/>
      <c r="G32" s="86"/>
      <c r="H32" s="72"/>
      <c r="I32" s="72"/>
      <c r="J32" s="69"/>
    </row>
    <row r="33" spans="1:10" ht="15" hidden="1" customHeight="1" x14ac:dyDescent="0.25">
      <c r="A33" s="73"/>
      <c r="B33" s="71"/>
      <c r="C33" s="63" t="s">
        <v>93</v>
      </c>
      <c r="D33" s="114"/>
      <c r="E33" s="107"/>
      <c r="F33" s="72"/>
      <c r="G33" s="86"/>
      <c r="H33" s="72"/>
      <c r="I33" s="72"/>
      <c r="J33" s="69"/>
    </row>
    <row r="34" spans="1:10" ht="20.25" hidden="1" customHeight="1" x14ac:dyDescent="0.25">
      <c r="A34" s="112"/>
      <c r="B34" s="63"/>
      <c r="C34" s="63" t="s">
        <v>93</v>
      </c>
      <c r="D34" s="112"/>
      <c r="E34" s="63"/>
      <c r="F34" s="63"/>
      <c r="G34" s="83"/>
      <c r="H34" s="66"/>
      <c r="I34" s="72"/>
      <c r="J34" s="69"/>
    </row>
    <row r="35" spans="1:10" ht="28.5" hidden="1" customHeight="1" x14ac:dyDescent="0.25">
      <c r="A35" s="112"/>
      <c r="B35" s="63"/>
      <c r="C35" s="63" t="s">
        <v>93</v>
      </c>
      <c r="D35" s="112"/>
      <c r="E35" s="63"/>
      <c r="F35" s="63"/>
      <c r="G35" s="83"/>
      <c r="H35" s="66"/>
      <c r="I35" s="72"/>
      <c r="J35" s="69"/>
    </row>
    <row r="36" spans="1:10" ht="21" hidden="1" customHeight="1" x14ac:dyDescent="0.25">
      <c r="A36" s="112"/>
      <c r="B36" s="63"/>
      <c r="C36" s="63" t="s">
        <v>93</v>
      </c>
      <c r="D36" s="112"/>
      <c r="E36" s="63"/>
      <c r="F36" s="63"/>
      <c r="G36" s="83"/>
      <c r="H36" s="66"/>
      <c r="I36" s="72"/>
      <c r="J36" s="69"/>
    </row>
    <row r="37" spans="1:10" ht="18" hidden="1" customHeight="1" x14ac:dyDescent="0.25">
      <c r="A37" s="112"/>
      <c r="B37" s="63"/>
      <c r="C37" s="63" t="s">
        <v>93</v>
      </c>
      <c r="D37" s="112"/>
      <c r="E37" s="63"/>
      <c r="F37" s="63"/>
      <c r="G37" s="83"/>
      <c r="H37" s="66"/>
      <c r="I37" s="72"/>
      <c r="J37" s="69"/>
    </row>
    <row r="38" spans="1:10" ht="20.25" hidden="1" customHeight="1" x14ac:dyDescent="0.25">
      <c r="A38" s="112"/>
      <c r="B38" s="63"/>
      <c r="C38" s="63" t="s">
        <v>93</v>
      </c>
      <c r="D38" s="112"/>
      <c r="E38" s="63"/>
      <c r="F38" s="63"/>
      <c r="G38" s="83"/>
      <c r="H38" s="66"/>
      <c r="I38" s="72"/>
      <c r="J38" s="69"/>
    </row>
    <row r="39" spans="1:10" hidden="1" x14ac:dyDescent="0.25">
      <c r="A39" s="73"/>
      <c r="B39" s="75"/>
      <c r="C39" s="63" t="s">
        <v>93</v>
      </c>
      <c r="D39" s="73"/>
      <c r="E39" s="76"/>
      <c r="F39" s="72"/>
      <c r="G39" s="86"/>
      <c r="H39" s="72"/>
      <c r="I39" s="72"/>
      <c r="J39" s="69"/>
    </row>
    <row r="40" spans="1:10" hidden="1" x14ac:dyDescent="0.25">
      <c r="A40" s="73"/>
      <c r="B40" s="75"/>
      <c r="C40" s="63" t="s">
        <v>93</v>
      </c>
      <c r="D40" s="73"/>
      <c r="E40" s="76"/>
      <c r="F40" s="72"/>
      <c r="G40" s="86"/>
      <c r="H40" s="72"/>
      <c r="I40" s="72"/>
      <c r="J40" s="69"/>
    </row>
    <row r="41" spans="1:10" ht="27.75" hidden="1" customHeight="1" x14ac:dyDescent="0.25">
      <c r="A41" s="112"/>
      <c r="B41" s="63"/>
      <c r="C41" s="63" t="s">
        <v>93</v>
      </c>
      <c r="D41" s="112"/>
      <c r="E41" s="63"/>
      <c r="F41" s="63"/>
      <c r="G41" s="83"/>
      <c r="H41" s="66"/>
      <c r="I41" s="72"/>
      <c r="J41" s="69"/>
    </row>
    <row r="42" spans="1:10" ht="14.25" hidden="1" customHeight="1" x14ac:dyDescent="0.25">
      <c r="A42" s="112"/>
      <c r="B42" s="63"/>
      <c r="C42" s="63" t="s">
        <v>93</v>
      </c>
      <c r="D42" s="112"/>
      <c r="E42" s="63"/>
      <c r="F42" s="63"/>
      <c r="G42" s="83"/>
      <c r="H42" s="66"/>
      <c r="I42" s="72"/>
      <c r="J42" s="69"/>
    </row>
    <row r="43" spans="1:10" hidden="1" x14ac:dyDescent="0.25">
      <c r="A43" s="112"/>
      <c r="B43" s="63"/>
      <c r="C43" s="63" t="s">
        <v>93</v>
      </c>
      <c r="D43" s="112"/>
      <c r="E43" s="63"/>
      <c r="F43" s="63"/>
      <c r="G43" s="83"/>
      <c r="H43" s="66"/>
      <c r="I43" s="72"/>
      <c r="J43" s="69"/>
    </row>
    <row r="44" spans="1:10" hidden="1" x14ac:dyDescent="0.25">
      <c r="A44" s="112"/>
      <c r="B44" s="63"/>
      <c r="C44" s="63" t="s">
        <v>93</v>
      </c>
      <c r="D44" s="112"/>
      <c r="E44" s="63"/>
      <c r="F44" s="63"/>
      <c r="G44" s="83"/>
      <c r="H44" s="66"/>
      <c r="I44" s="72"/>
      <c r="J44" s="69"/>
    </row>
    <row r="45" spans="1:10" hidden="1" x14ac:dyDescent="0.25">
      <c r="A45" s="112"/>
      <c r="B45" s="63"/>
      <c r="C45" s="63" t="s">
        <v>93</v>
      </c>
      <c r="D45" s="112"/>
      <c r="E45" s="63"/>
      <c r="F45" s="63"/>
      <c r="G45" s="83"/>
      <c r="H45" s="66"/>
      <c r="I45" s="72"/>
      <c r="J45" s="69"/>
    </row>
    <row r="46" spans="1:10" hidden="1" x14ac:dyDescent="0.25">
      <c r="A46" s="73"/>
      <c r="B46" s="75"/>
      <c r="C46" s="63" t="s">
        <v>93</v>
      </c>
      <c r="D46" s="73"/>
      <c r="E46" s="109"/>
      <c r="F46" s="72"/>
      <c r="G46" s="86"/>
      <c r="H46" s="72"/>
      <c r="I46" s="72"/>
      <c r="J46" s="69"/>
    </row>
    <row r="47" spans="1:10" hidden="1" x14ac:dyDescent="0.25">
      <c r="A47" s="73"/>
      <c r="B47" s="75"/>
      <c r="C47" s="63" t="s">
        <v>93</v>
      </c>
      <c r="D47" s="73"/>
      <c r="E47" s="109"/>
      <c r="F47" s="72"/>
      <c r="G47" s="86"/>
      <c r="H47" s="72"/>
      <c r="I47" s="72"/>
      <c r="J47" s="69"/>
    </row>
    <row r="48" spans="1:10" hidden="1" x14ac:dyDescent="0.25">
      <c r="A48" s="73"/>
      <c r="B48" s="75"/>
      <c r="C48" s="63" t="s">
        <v>93</v>
      </c>
      <c r="D48" s="73"/>
      <c r="E48" s="109"/>
      <c r="F48" s="72"/>
      <c r="G48" s="86"/>
      <c r="H48" s="72"/>
      <c r="I48" s="72"/>
      <c r="J48" s="69"/>
    </row>
    <row r="49" spans="1:10" hidden="1" x14ac:dyDescent="0.25">
      <c r="A49" s="73"/>
      <c r="B49" s="75"/>
      <c r="C49" s="63" t="s">
        <v>93</v>
      </c>
      <c r="D49" s="73"/>
      <c r="E49" s="109"/>
      <c r="F49" s="72"/>
      <c r="G49" s="86"/>
      <c r="H49" s="72"/>
      <c r="I49" s="72"/>
      <c r="J49" s="69"/>
    </row>
    <row r="50" spans="1:10" hidden="1" x14ac:dyDescent="0.25">
      <c r="A50" s="73"/>
      <c r="B50" s="75"/>
      <c r="C50" s="63" t="s">
        <v>93</v>
      </c>
      <c r="D50" s="73"/>
      <c r="E50" s="109"/>
      <c r="F50" s="72"/>
      <c r="G50" s="86"/>
      <c r="H50" s="72"/>
      <c r="I50" s="72"/>
      <c r="J50" s="69"/>
    </row>
    <row r="51" spans="1:10" hidden="1" x14ac:dyDescent="0.25">
      <c r="A51" s="73"/>
      <c r="B51" s="75"/>
      <c r="C51" s="63" t="s">
        <v>93</v>
      </c>
      <c r="D51" s="73"/>
      <c r="E51" s="109"/>
      <c r="F51" s="72"/>
      <c r="G51" s="86"/>
      <c r="H51" s="72"/>
      <c r="I51" s="72"/>
      <c r="J51" s="69"/>
    </row>
    <row r="52" spans="1:10" hidden="1" x14ac:dyDescent="0.25">
      <c r="A52" s="73"/>
      <c r="B52" s="75"/>
      <c r="C52" s="63" t="s">
        <v>93</v>
      </c>
      <c r="D52" s="73"/>
      <c r="E52" s="109"/>
      <c r="F52" s="72"/>
      <c r="G52" s="86"/>
      <c r="H52" s="72"/>
      <c r="I52" s="72"/>
      <c r="J52" s="69"/>
    </row>
    <row r="53" spans="1:10" hidden="1" x14ac:dyDescent="0.25">
      <c r="A53" s="73"/>
      <c r="B53" s="75"/>
      <c r="C53" s="63" t="s">
        <v>93</v>
      </c>
      <c r="D53" s="73"/>
      <c r="E53" s="109"/>
      <c r="F53" s="72"/>
      <c r="G53" s="86"/>
      <c r="H53" s="72"/>
      <c r="I53" s="72"/>
      <c r="J53" s="69"/>
    </row>
    <row r="54" spans="1:10" hidden="1" x14ac:dyDescent="0.25">
      <c r="A54" s="117"/>
      <c r="B54" s="75"/>
      <c r="C54" s="63" t="s">
        <v>93</v>
      </c>
      <c r="D54" s="73"/>
      <c r="E54" s="109"/>
      <c r="F54" s="72"/>
      <c r="G54" s="86"/>
      <c r="H54" s="72"/>
      <c r="I54" s="72"/>
      <c r="J54" s="69"/>
    </row>
    <row r="55" spans="1:10" hidden="1" x14ac:dyDescent="0.25">
      <c r="A55" s="117"/>
      <c r="B55" s="75"/>
      <c r="C55" s="63" t="s">
        <v>93</v>
      </c>
      <c r="D55" s="73"/>
      <c r="E55" s="109"/>
      <c r="F55" s="72"/>
      <c r="G55" s="86"/>
      <c r="H55" s="72"/>
      <c r="I55" s="72"/>
      <c r="J55" s="69"/>
    </row>
    <row r="56" spans="1:10" hidden="1" x14ac:dyDescent="0.25">
      <c r="A56" s="73"/>
      <c r="B56" s="73"/>
      <c r="C56" s="63" t="s">
        <v>93</v>
      </c>
      <c r="D56" s="73"/>
      <c r="E56" s="110"/>
      <c r="F56" s="72"/>
      <c r="G56" s="86"/>
      <c r="H56" s="72"/>
      <c r="I56" s="72"/>
      <c r="J56" s="69"/>
    </row>
    <row r="57" spans="1:10" hidden="1" x14ac:dyDescent="0.25">
      <c r="A57" s="73"/>
      <c r="B57" s="73"/>
      <c r="C57" s="63" t="s">
        <v>93</v>
      </c>
      <c r="D57" s="73"/>
      <c r="E57" s="110"/>
      <c r="F57" s="72"/>
      <c r="G57" s="86"/>
      <c r="H57" s="72"/>
      <c r="I57" s="72"/>
      <c r="J57" s="69"/>
    </row>
    <row r="58" spans="1:10" hidden="1" x14ac:dyDescent="0.25">
      <c r="A58" s="73"/>
      <c r="B58" s="73"/>
      <c r="C58" s="63" t="s">
        <v>93</v>
      </c>
      <c r="D58" s="73"/>
      <c r="E58" s="110"/>
      <c r="F58" s="72"/>
      <c r="G58" s="86"/>
      <c r="H58" s="72"/>
      <c r="I58" s="72"/>
      <c r="J58" s="69"/>
    </row>
    <row r="59" spans="1:10" hidden="1" x14ac:dyDescent="0.25">
      <c r="A59" s="73"/>
      <c r="B59" s="73"/>
      <c r="C59" s="63" t="s">
        <v>93</v>
      </c>
      <c r="D59" s="73"/>
      <c r="E59" s="110"/>
      <c r="F59" s="72"/>
      <c r="G59" s="86"/>
      <c r="H59" s="72"/>
      <c r="I59" s="72"/>
      <c r="J59" s="69"/>
    </row>
    <row r="60" spans="1:10" hidden="1" x14ac:dyDescent="0.25">
      <c r="A60" s="73"/>
      <c r="B60" s="73"/>
      <c r="C60" s="63" t="s">
        <v>93</v>
      </c>
      <c r="D60" s="73"/>
      <c r="E60" s="110"/>
      <c r="F60" s="72"/>
      <c r="G60" s="86"/>
      <c r="H60" s="72"/>
      <c r="I60" s="72"/>
      <c r="J60" s="69"/>
    </row>
    <row r="61" spans="1:10" hidden="1" x14ac:dyDescent="0.25">
      <c r="A61" s="73"/>
      <c r="B61" s="73"/>
      <c r="C61" s="63" t="s">
        <v>93</v>
      </c>
      <c r="D61" s="73"/>
      <c r="E61" s="110"/>
      <c r="F61" s="72"/>
      <c r="G61" s="86"/>
      <c r="H61" s="72"/>
      <c r="I61" s="72"/>
      <c r="J61" s="69"/>
    </row>
    <row r="62" spans="1:10" hidden="1" x14ac:dyDescent="0.25">
      <c r="A62" s="73"/>
      <c r="B62" s="73"/>
      <c r="C62" s="63" t="s">
        <v>93</v>
      </c>
      <c r="D62" s="73"/>
      <c r="E62" s="110"/>
      <c r="F62" s="77"/>
      <c r="G62" s="86"/>
      <c r="H62" s="72"/>
      <c r="I62" s="72"/>
      <c r="J62" s="69"/>
    </row>
    <row r="63" spans="1:10" hidden="1" x14ac:dyDescent="0.25">
      <c r="A63" s="73"/>
      <c r="B63" s="73"/>
      <c r="C63" s="63" t="s">
        <v>93</v>
      </c>
      <c r="D63" s="73"/>
      <c r="E63" s="110"/>
      <c r="F63" s="72"/>
      <c r="G63" s="86"/>
      <c r="H63" s="72"/>
      <c r="I63" s="72"/>
      <c r="J63" s="69"/>
    </row>
    <row r="64" spans="1:10" hidden="1" x14ac:dyDescent="0.25">
      <c r="A64" s="73"/>
      <c r="B64" s="73"/>
      <c r="C64" s="63" t="s">
        <v>93</v>
      </c>
      <c r="D64" s="73"/>
      <c r="E64" s="110"/>
      <c r="F64" s="78"/>
      <c r="G64" s="86"/>
      <c r="H64" s="72"/>
      <c r="I64" s="72"/>
      <c r="J64" s="69"/>
    </row>
    <row r="65" spans="1:12" hidden="1" x14ac:dyDescent="0.25">
      <c r="A65" s="73"/>
      <c r="B65" s="73"/>
      <c r="C65" s="63" t="s">
        <v>93</v>
      </c>
      <c r="D65" s="73"/>
      <c r="E65" s="110"/>
      <c r="F65" s="77"/>
      <c r="G65" s="86"/>
      <c r="H65" s="72"/>
      <c r="I65" s="72"/>
      <c r="J65" s="69"/>
    </row>
    <row r="66" spans="1:12" hidden="1" x14ac:dyDescent="0.25">
      <c r="A66" s="73"/>
      <c r="B66" s="73"/>
      <c r="C66" s="63" t="s">
        <v>93</v>
      </c>
      <c r="D66" s="73"/>
      <c r="E66" s="110"/>
      <c r="F66" s="77"/>
      <c r="G66" s="86"/>
      <c r="H66" s="72"/>
      <c r="I66" s="72"/>
      <c r="J66" s="69"/>
    </row>
    <row r="67" spans="1:12" ht="18" hidden="1" customHeight="1" x14ac:dyDescent="0.25">
      <c r="A67" s="112"/>
      <c r="B67" s="63"/>
      <c r="C67" s="63" t="s">
        <v>93</v>
      </c>
      <c r="D67" s="112"/>
      <c r="E67" s="63"/>
      <c r="F67" s="63"/>
      <c r="G67" s="83"/>
      <c r="H67" s="66"/>
      <c r="I67" s="72"/>
      <c r="J67" s="69"/>
    </row>
    <row r="68" spans="1:12" ht="23.25" hidden="1" customHeight="1" x14ac:dyDescent="0.25">
      <c r="A68" s="112"/>
      <c r="B68" s="63"/>
      <c r="C68" s="63" t="s">
        <v>93</v>
      </c>
      <c r="D68" s="112"/>
      <c r="E68" s="63"/>
      <c r="F68" s="63"/>
      <c r="G68" s="83"/>
      <c r="H68" s="66"/>
      <c r="I68" s="47"/>
    </row>
    <row r="69" spans="1:12" ht="32.25" hidden="1" customHeight="1" x14ac:dyDescent="0.25">
      <c r="A69" s="112"/>
      <c r="B69" s="63"/>
      <c r="C69" s="63" t="s">
        <v>93</v>
      </c>
      <c r="D69" s="112"/>
      <c r="E69" s="63"/>
      <c r="F69" s="63"/>
      <c r="G69" s="83"/>
      <c r="H69" s="66"/>
      <c r="I69" s="47"/>
    </row>
    <row r="70" spans="1:12" hidden="1" x14ac:dyDescent="0.25">
      <c r="A70" s="43"/>
      <c r="B70" s="45"/>
      <c r="C70" s="63" t="s">
        <v>93</v>
      </c>
      <c r="D70" s="43"/>
      <c r="E70" s="65"/>
      <c r="F70" s="64"/>
      <c r="G70" s="87"/>
      <c r="H70" s="47"/>
      <c r="I70" s="47"/>
    </row>
    <row r="71" spans="1:12" hidden="1" x14ac:dyDescent="0.25">
      <c r="A71" s="43"/>
      <c r="B71" s="43"/>
      <c r="C71" s="63" t="s">
        <v>93</v>
      </c>
      <c r="D71" s="43"/>
      <c r="E71" s="65"/>
      <c r="F71" s="64"/>
      <c r="G71" s="87"/>
      <c r="H71" s="47"/>
      <c r="I71" s="47"/>
    </row>
    <row r="72" spans="1:12" hidden="1" x14ac:dyDescent="0.25">
      <c r="A72" s="43"/>
      <c r="B72" s="43"/>
      <c r="C72" s="63" t="s">
        <v>93</v>
      </c>
      <c r="D72" s="43"/>
      <c r="E72" s="65"/>
      <c r="F72" s="64"/>
      <c r="G72" s="87"/>
      <c r="H72" s="47"/>
      <c r="I72" s="47"/>
    </row>
    <row r="73" spans="1:12" ht="21" hidden="1" customHeight="1" x14ac:dyDescent="0.25">
      <c r="A73" s="112"/>
      <c r="B73" s="63"/>
      <c r="C73" s="63" t="s">
        <v>93</v>
      </c>
      <c r="D73" s="112"/>
      <c r="E73" s="63"/>
      <c r="F73" s="63"/>
      <c r="G73" s="84"/>
      <c r="H73" s="66"/>
      <c r="I73" s="82"/>
      <c r="J73" s="80"/>
      <c r="K73" s="79"/>
      <c r="L73" s="79"/>
    </row>
    <row r="74" spans="1:12" ht="24" hidden="1" customHeight="1" x14ac:dyDescent="0.25">
      <c r="A74" s="43"/>
      <c r="B74" s="81"/>
      <c r="C74" s="63" t="s">
        <v>93</v>
      </c>
      <c r="D74" s="112"/>
      <c r="E74" s="63"/>
      <c r="F74" s="63"/>
      <c r="G74" s="85"/>
      <c r="H74" s="82"/>
      <c r="I74" s="82"/>
      <c r="J74" s="80"/>
      <c r="K74" s="79"/>
      <c r="L74" s="79"/>
    </row>
    <row r="75" spans="1:12" hidden="1" x14ac:dyDescent="0.25">
      <c r="A75" s="43"/>
      <c r="B75" s="37"/>
      <c r="C75" s="63" t="s">
        <v>93</v>
      </c>
      <c r="D75" s="105"/>
      <c r="E75" s="38"/>
      <c r="F75" s="37"/>
      <c r="G75" s="88"/>
      <c r="H75" s="60"/>
      <c r="I75" s="60"/>
      <c r="J75"/>
      <c r="K75"/>
      <c r="L75"/>
    </row>
    <row r="76" spans="1:12" hidden="1" x14ac:dyDescent="0.25">
      <c r="A76" s="43"/>
      <c r="B76" s="43"/>
      <c r="C76" s="63" t="s">
        <v>93</v>
      </c>
      <c r="D76" s="43"/>
      <c r="E76" s="65"/>
      <c r="F76" s="64"/>
      <c r="G76" s="67"/>
      <c r="H76" s="47"/>
      <c r="I76" s="47"/>
    </row>
    <row r="77" spans="1:12" hidden="1" x14ac:dyDescent="0.25">
      <c r="A77" s="43"/>
      <c r="B77" s="43"/>
      <c r="C77" s="63" t="s">
        <v>93</v>
      </c>
      <c r="D77" s="43"/>
      <c r="E77" s="65"/>
      <c r="F77" s="64"/>
      <c r="G77" s="67"/>
      <c r="H77" s="47"/>
      <c r="I77" s="47"/>
    </row>
    <row r="78" spans="1:12" hidden="1" x14ac:dyDescent="0.25">
      <c r="A78" s="43"/>
      <c r="B78" s="43"/>
      <c r="C78" s="63" t="s">
        <v>93</v>
      </c>
      <c r="D78" s="43"/>
      <c r="E78" s="65"/>
      <c r="F78" s="64"/>
      <c r="G78" s="67"/>
      <c r="H78" s="47"/>
      <c r="I78" s="47"/>
    </row>
    <row r="79" spans="1:12" hidden="1" x14ac:dyDescent="0.25">
      <c r="A79" s="43"/>
      <c r="B79" s="43"/>
      <c r="C79" s="63" t="s">
        <v>93</v>
      </c>
      <c r="D79" s="43"/>
      <c r="E79" s="65"/>
      <c r="F79" s="64"/>
      <c r="G79" s="67"/>
      <c r="H79" s="47"/>
      <c r="I79" s="47"/>
    </row>
    <row r="80" spans="1:12" x14ac:dyDescent="0.25">
      <c r="A80" s="43" t="s">
        <v>111</v>
      </c>
      <c r="B80" s="43"/>
      <c r="C80" s="63" t="s">
        <v>93</v>
      </c>
      <c r="D80" s="43" t="s">
        <v>109</v>
      </c>
      <c r="E80" s="111">
        <v>300</v>
      </c>
      <c r="F80" s="64"/>
      <c r="G80" s="64"/>
      <c r="H80" s="47">
        <v>11.44</v>
      </c>
      <c r="I80" s="47">
        <f>H80*E80</f>
        <v>3432</v>
      </c>
    </row>
    <row r="81" spans="1:9" x14ac:dyDescent="0.25">
      <c r="A81" s="43" t="s">
        <v>112</v>
      </c>
      <c r="B81" s="43"/>
      <c r="C81" s="63" t="s">
        <v>93</v>
      </c>
      <c r="D81" s="43" t="s">
        <v>109</v>
      </c>
      <c r="E81" s="65">
        <v>1</v>
      </c>
      <c r="F81" s="64"/>
      <c r="G81" s="64"/>
      <c r="H81" s="47">
        <v>56.51</v>
      </c>
      <c r="I81" s="47">
        <f>H81*E81</f>
        <v>56.51</v>
      </c>
    </row>
    <row r="82" spans="1:9" x14ac:dyDescent="0.25">
      <c r="A82" s="43" t="s">
        <v>113</v>
      </c>
      <c r="B82" s="43"/>
      <c r="C82" s="63" t="s">
        <v>93</v>
      </c>
      <c r="D82" s="43" t="s">
        <v>94</v>
      </c>
      <c r="E82" s="65">
        <v>2</v>
      </c>
      <c r="F82" s="64"/>
      <c r="G82" s="64"/>
      <c r="H82" s="47">
        <v>1595</v>
      </c>
      <c r="I82" s="47">
        <f>H82*E82</f>
        <v>3190</v>
      </c>
    </row>
    <row r="83" spans="1:9" x14ac:dyDescent="0.25">
      <c r="A83" s="43"/>
      <c r="B83" s="43"/>
      <c r="C83" s="63"/>
      <c r="D83" s="43"/>
      <c r="E83" s="65"/>
      <c r="F83" s="64"/>
      <c r="G83" s="64"/>
      <c r="H83" s="47"/>
      <c r="I83" s="47"/>
    </row>
    <row r="84" spans="1:9" x14ac:dyDescent="0.25">
      <c r="A84" s="43"/>
      <c r="B84" s="43"/>
      <c r="C84" s="43"/>
      <c r="D84" s="43"/>
      <c r="E84" s="44"/>
      <c r="F84" s="64"/>
      <c r="G84" s="64"/>
      <c r="H84" s="64"/>
      <c r="I84" s="64"/>
    </row>
    <row r="85" spans="1:9" x14ac:dyDescent="0.25">
      <c r="A85" s="43"/>
      <c r="B85" s="43"/>
      <c r="C85" s="43"/>
      <c r="D85" s="43"/>
      <c r="E85" s="44"/>
      <c r="F85" s="64"/>
      <c r="G85" s="64"/>
      <c r="H85" s="64"/>
      <c r="I85" s="92">
        <f>I6+I7+I8+I9+I10+I11+I12+I80+I81+I82+I83</f>
        <v>29897.91</v>
      </c>
    </row>
  </sheetData>
  <mergeCells count="3">
    <mergeCell ref="A1:E1"/>
    <mergeCell ref="A2:F2"/>
    <mergeCell ref="A3:F3"/>
  </mergeCells>
  <printOptions horizontalCentered="1" verticalCentered="1"/>
  <pageMargins left="7.874015748031496E-2" right="7.874015748031496E-2" top="0.74803149606299213" bottom="0.74803149606299213" header="0.31496062992125984" footer="0.31496062992125984"/>
  <pageSetup paperSize="9" scale="135" orientation="landscape" horizontalDpi="1200" verticalDpi="1200" r:id="rId1"/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zoomScaleNormal="100" workbookViewId="0">
      <selection activeCell="K8" sqref="K8"/>
    </sheetView>
  </sheetViews>
  <sheetFormatPr defaultColWidth="9.140625" defaultRowHeight="15" x14ac:dyDescent="0.25"/>
  <cols>
    <col min="1" max="1" width="0.140625" style="7" customWidth="1"/>
    <col min="2" max="2" width="21.42578125" style="7" customWidth="1"/>
    <col min="3" max="3" width="8.7109375" style="7" bestFit="1" customWidth="1"/>
    <col min="4" max="4" width="8.7109375" style="7" customWidth="1"/>
    <col min="5" max="5" width="10.7109375" style="7" bestFit="1" customWidth="1"/>
    <col min="6" max="6" width="15.85546875" style="7" customWidth="1"/>
    <col min="7" max="16384" width="9.140625" style="7"/>
  </cols>
  <sheetData>
    <row r="1" spans="1:12" s="1" customFormat="1" ht="30" customHeight="1" x14ac:dyDescent="0.25">
      <c r="A1" s="144" t="s">
        <v>74</v>
      </c>
      <c r="B1" s="144"/>
      <c r="C1" s="144"/>
      <c r="D1" s="144"/>
      <c r="E1" s="144"/>
      <c r="F1" s="144"/>
      <c r="G1" s="144"/>
      <c r="H1" s="144"/>
      <c r="I1" s="6"/>
      <c r="J1" s="6"/>
      <c r="K1" s="6"/>
      <c r="L1" s="6"/>
    </row>
    <row r="2" spans="1:12" s="1" customFormat="1" ht="30" customHeight="1" x14ac:dyDescent="0.25">
      <c r="A2" s="144" t="s">
        <v>37</v>
      </c>
      <c r="B2" s="144"/>
      <c r="C2" s="144"/>
      <c r="D2" s="144"/>
      <c r="E2" s="144"/>
      <c r="F2" s="144"/>
      <c r="G2" s="144"/>
      <c r="H2" s="144"/>
      <c r="I2" s="6"/>
      <c r="J2" s="6"/>
      <c r="K2" s="6"/>
      <c r="L2" s="6"/>
    </row>
    <row r="4" spans="1:12" x14ac:dyDescent="0.25">
      <c r="A4" s="8" t="s">
        <v>38</v>
      </c>
      <c r="B4" s="8" t="s">
        <v>39</v>
      </c>
      <c r="C4" s="8" t="s">
        <v>40</v>
      </c>
      <c r="D4" s="8" t="s">
        <v>41</v>
      </c>
      <c r="E4" s="9"/>
      <c r="F4" s="9" t="s">
        <v>42</v>
      </c>
    </row>
    <row r="5" spans="1:12" x14ac:dyDescent="0.25">
      <c r="A5" s="5"/>
      <c r="B5" s="5" t="s">
        <v>43</v>
      </c>
      <c r="C5" s="5">
        <v>0</v>
      </c>
      <c r="D5" s="5"/>
      <c r="E5" s="10">
        <v>0</v>
      </c>
      <c r="F5" s="10">
        <f t="shared" ref="F5" si="0">C5*E5</f>
        <v>0</v>
      </c>
    </row>
    <row r="6" spans="1:12" x14ac:dyDescent="0.25">
      <c r="A6" s="5"/>
      <c r="B6" s="5" t="s">
        <v>44</v>
      </c>
      <c r="C6" s="5">
        <v>0</v>
      </c>
      <c r="D6" s="5"/>
      <c r="E6" s="10">
        <v>321.74</v>
      </c>
      <c r="F6" s="10">
        <f>E6*D6*C6</f>
        <v>0</v>
      </c>
    </row>
    <row r="7" spans="1:12" x14ac:dyDescent="0.25">
      <c r="A7" s="5"/>
      <c r="B7" s="5" t="s">
        <v>45</v>
      </c>
      <c r="C7" s="5">
        <v>0</v>
      </c>
      <c r="D7" s="5"/>
      <c r="E7" s="10">
        <v>476</v>
      </c>
      <c r="F7" s="10">
        <f>E7*D7*C7</f>
        <v>0</v>
      </c>
    </row>
    <row r="8" spans="1:12" x14ac:dyDescent="0.25">
      <c r="A8" s="5"/>
      <c r="B8" s="5" t="s">
        <v>46</v>
      </c>
      <c r="C8" s="5">
        <v>0</v>
      </c>
      <c r="D8" s="5"/>
      <c r="E8" s="10">
        <v>321.74</v>
      </c>
      <c r="F8" s="10">
        <f>E8*D8*C8</f>
        <v>0</v>
      </c>
    </row>
    <row r="9" spans="1:12" x14ac:dyDescent="0.25">
      <c r="A9" s="5"/>
      <c r="B9" s="5" t="s">
        <v>47</v>
      </c>
      <c r="C9" s="5">
        <v>0</v>
      </c>
      <c r="D9" s="5"/>
      <c r="E9" s="10">
        <v>534.96</v>
      </c>
      <c r="F9" s="10">
        <f t="shared" ref="F9:F14" si="1">C9*E9</f>
        <v>0</v>
      </c>
    </row>
    <row r="10" spans="1:12" x14ac:dyDescent="0.25">
      <c r="A10" s="5"/>
      <c r="B10" s="5" t="s">
        <v>48</v>
      </c>
      <c r="C10" s="5">
        <v>0</v>
      </c>
      <c r="D10" s="5"/>
      <c r="E10" s="10">
        <v>217.93</v>
      </c>
      <c r="F10" s="10">
        <f>E10*D10*C10</f>
        <v>0</v>
      </c>
    </row>
    <row r="11" spans="1:12" x14ac:dyDescent="0.25">
      <c r="A11" s="5"/>
      <c r="B11" s="5" t="s">
        <v>49</v>
      </c>
      <c r="C11" s="5">
        <v>0</v>
      </c>
      <c r="D11" s="5"/>
      <c r="E11" s="10">
        <v>398.26</v>
      </c>
      <c r="F11" s="10">
        <f t="shared" si="1"/>
        <v>0</v>
      </c>
    </row>
    <row r="12" spans="1:12" x14ac:dyDescent="0.25">
      <c r="A12" s="5"/>
      <c r="B12" s="5" t="s">
        <v>50</v>
      </c>
      <c r="C12" s="5">
        <v>0</v>
      </c>
      <c r="D12" s="5"/>
      <c r="E12" s="10">
        <v>375.07</v>
      </c>
      <c r="F12" s="10">
        <f t="shared" si="1"/>
        <v>0</v>
      </c>
    </row>
    <row r="13" spans="1:12" x14ac:dyDescent="0.25">
      <c r="A13" s="5"/>
      <c r="B13" s="5" t="s">
        <v>51</v>
      </c>
      <c r="C13" s="5">
        <v>0</v>
      </c>
      <c r="D13" s="5"/>
      <c r="E13" s="10">
        <v>251</v>
      </c>
      <c r="F13" s="10">
        <f>E13*D13*C13</f>
        <v>0</v>
      </c>
    </row>
    <row r="14" spans="1:12" x14ac:dyDescent="0.25">
      <c r="A14" s="5"/>
      <c r="B14" s="5" t="s">
        <v>52</v>
      </c>
      <c r="C14" s="5">
        <v>0</v>
      </c>
      <c r="D14" s="5"/>
      <c r="E14" s="10">
        <v>350</v>
      </c>
      <c r="F14" s="10">
        <f t="shared" si="1"/>
        <v>0</v>
      </c>
    </row>
    <row r="15" spans="1:12" x14ac:dyDescent="0.25">
      <c r="A15" s="5"/>
      <c r="B15" s="5"/>
      <c r="C15" s="5"/>
      <c r="D15" s="5"/>
      <c r="E15" s="5"/>
      <c r="F15" s="51">
        <f>F6+F7+F8</f>
        <v>0</v>
      </c>
    </row>
  </sheetData>
  <mergeCells count="2">
    <mergeCell ref="A1:H1"/>
    <mergeCell ref="A2:H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65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0"/>
  <sheetViews>
    <sheetView zoomScaleNormal="100" workbookViewId="0">
      <selection activeCell="E18" sqref="E18"/>
    </sheetView>
  </sheetViews>
  <sheetFormatPr defaultColWidth="9.140625" defaultRowHeight="15" x14ac:dyDescent="0.25"/>
  <cols>
    <col min="1" max="1" width="14.85546875" style="7" customWidth="1"/>
    <col min="2" max="2" width="10.85546875" style="7" customWidth="1"/>
    <col min="3" max="3" width="18.28515625" style="7" customWidth="1"/>
    <col min="4" max="4" width="24.140625" style="14" customWidth="1"/>
    <col min="5" max="5" width="10.5703125" style="7" customWidth="1"/>
    <col min="6" max="6" width="14" style="7" customWidth="1"/>
    <col min="7" max="16384" width="9.140625" style="7"/>
  </cols>
  <sheetData>
    <row r="1" spans="1:6" s="1" customFormat="1" ht="30" customHeight="1" x14ac:dyDescent="0.25">
      <c r="B1" s="6"/>
      <c r="C1" s="6"/>
      <c r="D1" s="6"/>
    </row>
    <row r="2" spans="1:6" s="1" customFormat="1" ht="30" customHeight="1" x14ac:dyDescent="0.25">
      <c r="B2" s="144" t="s">
        <v>13</v>
      </c>
      <c r="C2" s="144"/>
      <c r="D2" s="144"/>
    </row>
    <row r="3" spans="1:6" x14ac:dyDescent="0.25">
      <c r="D3" s="7"/>
    </row>
    <row r="4" spans="1:6" ht="63.75" customHeight="1" x14ac:dyDescent="0.25">
      <c r="A4" s="95" t="s">
        <v>53</v>
      </c>
      <c r="B4" s="95" t="s">
        <v>54</v>
      </c>
      <c r="C4" s="96" t="s">
        <v>14</v>
      </c>
      <c r="D4" s="97" t="s">
        <v>55</v>
      </c>
      <c r="E4" s="98">
        <v>45682</v>
      </c>
      <c r="F4" s="99">
        <v>45713</v>
      </c>
    </row>
    <row r="5" spans="1:6" x14ac:dyDescent="0.25">
      <c r="A5" s="5" t="s">
        <v>77</v>
      </c>
      <c r="B5" s="30" t="s">
        <v>78</v>
      </c>
      <c r="C5" s="11">
        <v>6.86</v>
      </c>
      <c r="D5" s="12">
        <f>E5*C5+F5*C5</f>
        <v>3259.8720000000003</v>
      </c>
      <c r="E5" s="106">
        <f>26.4*4*2</f>
        <v>211.2</v>
      </c>
      <c r="F5" s="106">
        <f>26.4*5*2</f>
        <v>264</v>
      </c>
    </row>
    <row r="6" spans="1:6" x14ac:dyDescent="0.25">
      <c r="A6" s="5" t="s">
        <v>80</v>
      </c>
      <c r="B6" s="61" t="s">
        <v>79</v>
      </c>
      <c r="C6" s="11">
        <v>5.08</v>
      </c>
      <c r="D6" s="42">
        <f>E6*C6</f>
        <v>804.67199999999991</v>
      </c>
      <c r="E6" s="106">
        <f>26.4*3*2</f>
        <v>158.39999999999998</v>
      </c>
      <c r="F6" s="106">
        <f>26.4*1*2</f>
        <v>52.8</v>
      </c>
    </row>
    <row r="7" spans="1:6" x14ac:dyDescent="0.25">
      <c r="A7" s="5" t="s">
        <v>85</v>
      </c>
      <c r="B7" s="52" t="s">
        <v>84</v>
      </c>
      <c r="C7" s="11">
        <v>4.96</v>
      </c>
      <c r="D7" s="42">
        <f>E7*C7</f>
        <v>874.94399999999985</v>
      </c>
      <c r="E7" s="106">
        <f>29.4*3*2</f>
        <v>176.39999999999998</v>
      </c>
      <c r="F7" s="106">
        <f>26.4*2*2</f>
        <v>105.6</v>
      </c>
    </row>
    <row r="8" spans="1:6" x14ac:dyDescent="0.25">
      <c r="A8" s="5" t="s">
        <v>85</v>
      </c>
      <c r="B8" s="61" t="s">
        <v>101</v>
      </c>
      <c r="C8" s="11">
        <v>4.96</v>
      </c>
      <c r="D8" s="42">
        <f>F8*C8</f>
        <v>1571.3279999999997</v>
      </c>
      <c r="E8" s="106"/>
      <c r="F8" s="106">
        <f>26.4*6*2</f>
        <v>316.79999999999995</v>
      </c>
    </row>
    <row r="9" spans="1:6" x14ac:dyDescent="0.25">
      <c r="A9" s="5"/>
      <c r="B9" s="61"/>
      <c r="C9" s="11"/>
      <c r="D9" s="42"/>
      <c r="E9" s="25"/>
      <c r="F9" s="5"/>
    </row>
    <row r="10" spans="1:6" x14ac:dyDescent="0.25">
      <c r="A10" s="37"/>
      <c r="B10" s="61"/>
      <c r="C10" s="11"/>
      <c r="D10" s="101">
        <f>D5+D6+D7</f>
        <v>4939.4880000000003</v>
      </c>
      <c r="E10" s="49"/>
      <c r="F10" s="5"/>
    </row>
    <row r="11" spans="1:6" x14ac:dyDescent="0.25">
      <c r="A11" s="48"/>
      <c r="B11" s="30"/>
      <c r="C11" s="30"/>
      <c r="D11" s="53"/>
      <c r="E11" s="5"/>
      <c r="F11" s="5"/>
    </row>
    <row r="12" spans="1:6" x14ac:dyDescent="0.25">
      <c r="A12" s="5"/>
      <c r="B12" s="5"/>
      <c r="C12" s="5"/>
      <c r="D12" s="50"/>
      <c r="E12" s="5"/>
      <c r="F12" s="5"/>
    </row>
    <row r="15" spans="1:6" x14ac:dyDescent="0.25">
      <c r="C15" s="26"/>
      <c r="D15" s="27"/>
    </row>
    <row r="17" spans="3:4" x14ac:dyDescent="0.25">
      <c r="C17" s="52"/>
    </row>
    <row r="18" spans="3:4" x14ac:dyDescent="0.25">
      <c r="D18" s="7"/>
    </row>
    <row r="19" spans="3:4" x14ac:dyDescent="0.25">
      <c r="D19" s="7"/>
    </row>
    <row r="20" spans="3:4" x14ac:dyDescent="0.25">
      <c r="D20" s="7"/>
    </row>
    <row r="21" spans="3:4" x14ac:dyDescent="0.25">
      <c r="D21" s="7"/>
    </row>
    <row r="22" spans="3:4" x14ac:dyDescent="0.25">
      <c r="D22" s="7"/>
    </row>
    <row r="23" spans="3:4" x14ac:dyDescent="0.25">
      <c r="D23" s="7"/>
    </row>
    <row r="24" spans="3:4" x14ac:dyDescent="0.25">
      <c r="D24" s="7"/>
    </row>
    <row r="25" spans="3:4" x14ac:dyDescent="0.25">
      <c r="D25" s="7"/>
    </row>
    <row r="26" spans="3:4" x14ac:dyDescent="0.25">
      <c r="D26" s="7"/>
    </row>
    <row r="27" spans="3:4" x14ac:dyDescent="0.25">
      <c r="D27" s="7"/>
    </row>
    <row r="28" spans="3:4" x14ac:dyDescent="0.25">
      <c r="D28" s="7"/>
    </row>
    <row r="29" spans="3:4" x14ac:dyDescent="0.25">
      <c r="D29" s="7"/>
    </row>
    <row r="30" spans="3:4" x14ac:dyDescent="0.25">
      <c r="D30" s="7"/>
    </row>
  </sheetData>
  <mergeCells count="1">
    <mergeCell ref="B2:D2"/>
  </mergeCells>
  <printOptions horizontalCentered="1" verticalCentered="1"/>
  <pageMargins left="7.874015748031496E-2" right="7.874015748031496E-2" top="0.74803149606299213" bottom="0.74803149606299213" header="0.31496062992125984" footer="0.31496062992125984"/>
  <pageSetup paperSize="9" scale="7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7239-0438-40C9-8108-C35561821BC5}">
  <dimension ref="A1:O32"/>
  <sheetViews>
    <sheetView topLeftCell="A2" workbookViewId="0">
      <selection activeCell="B35" sqref="B35"/>
    </sheetView>
  </sheetViews>
  <sheetFormatPr defaultRowHeight="15" x14ac:dyDescent="0.25"/>
  <cols>
    <col min="1" max="2" width="15.42578125" customWidth="1"/>
    <col min="3" max="3" width="11.140625" customWidth="1"/>
    <col min="4" max="4" width="13.140625" customWidth="1"/>
    <col min="5" max="5" width="10.85546875" customWidth="1"/>
    <col min="6" max="6" width="11.5703125" bestFit="1" customWidth="1"/>
    <col min="8" max="8" width="12.5703125" customWidth="1"/>
    <col min="9" max="9" width="14.140625" customWidth="1"/>
    <col min="10" max="10" width="13" customWidth="1"/>
    <col min="11" max="11" width="10.7109375" customWidth="1"/>
    <col min="13" max="13" width="10.5703125" bestFit="1" customWidth="1"/>
    <col min="15" max="15" width="14" customWidth="1"/>
    <col min="16" max="16" width="14.140625" customWidth="1"/>
    <col min="20" max="20" width="10.5703125" bestFit="1" customWidth="1"/>
  </cols>
  <sheetData>
    <row r="1" spans="1:15" x14ac:dyDescent="0.25">
      <c r="A1" s="46" t="s">
        <v>56</v>
      </c>
      <c r="B1" s="46" t="s">
        <v>4</v>
      </c>
      <c r="C1" s="46" t="s">
        <v>57</v>
      </c>
      <c r="D1" s="46" t="s">
        <v>58</v>
      </c>
      <c r="E1" s="46" t="s">
        <v>59</v>
      </c>
      <c r="F1" s="46" t="s">
        <v>18</v>
      </c>
      <c r="H1" s="46" t="s">
        <v>56</v>
      </c>
      <c r="I1" s="46" t="s">
        <v>4</v>
      </c>
      <c r="J1" s="46" t="s">
        <v>57</v>
      </c>
      <c r="K1" s="46" t="s">
        <v>58</v>
      </c>
      <c r="L1" s="46" t="s">
        <v>59</v>
      </c>
      <c r="M1" s="46" t="s">
        <v>18</v>
      </c>
    </row>
    <row r="2" spans="1:15" x14ac:dyDescent="0.25">
      <c r="A2" s="62" t="s">
        <v>76</v>
      </c>
      <c r="B2" s="37" t="s">
        <v>60</v>
      </c>
      <c r="C2" s="38">
        <v>4</v>
      </c>
      <c r="D2" s="38">
        <v>28.68</v>
      </c>
      <c r="E2" s="37">
        <v>8.75</v>
      </c>
      <c r="F2" s="60">
        <f>E2*D2*C2</f>
        <v>1003.8</v>
      </c>
      <c r="H2" s="36" t="s">
        <v>90</v>
      </c>
      <c r="I2" s="37" t="s">
        <v>60</v>
      </c>
      <c r="J2" s="38">
        <v>2</v>
      </c>
      <c r="K2" s="38">
        <v>28.68</v>
      </c>
      <c r="L2" s="37">
        <v>8.75</v>
      </c>
      <c r="M2" s="60">
        <v>1003.8</v>
      </c>
    </row>
    <row r="3" spans="1:15" x14ac:dyDescent="0.25">
      <c r="A3" s="37"/>
      <c r="B3" s="37" t="s">
        <v>61</v>
      </c>
      <c r="C3" s="38">
        <v>1</v>
      </c>
      <c r="D3" s="38">
        <v>57.1</v>
      </c>
      <c r="E3" s="37">
        <v>8.75</v>
      </c>
      <c r="F3" s="60">
        <f>E3*D3*C3</f>
        <v>499.625</v>
      </c>
      <c r="H3" s="37"/>
      <c r="I3" s="37" t="s">
        <v>88</v>
      </c>
      <c r="J3" s="38">
        <v>1</v>
      </c>
      <c r="K3" s="38">
        <v>82.27</v>
      </c>
      <c r="L3" s="37">
        <v>8.75</v>
      </c>
      <c r="M3" s="60">
        <v>499.625</v>
      </c>
      <c r="N3" s="94" t="s">
        <v>84</v>
      </c>
    </row>
    <row r="4" spans="1:15" x14ac:dyDescent="0.25">
      <c r="A4" s="37"/>
      <c r="B4" s="37"/>
      <c r="C4" s="38"/>
      <c r="D4" s="38"/>
      <c r="E4" s="37"/>
      <c r="F4" s="60">
        <f>F2+F3</f>
        <v>1503.425</v>
      </c>
      <c r="H4" s="37"/>
      <c r="I4" s="37"/>
      <c r="J4" s="38"/>
      <c r="K4" s="38"/>
      <c r="L4" s="37"/>
      <c r="M4" s="60">
        <v>1503.425</v>
      </c>
      <c r="N4" s="94"/>
    </row>
    <row r="5" spans="1:15" x14ac:dyDescent="0.25">
      <c r="A5" s="37"/>
      <c r="B5" s="37"/>
      <c r="C5" s="37"/>
      <c r="D5" s="37"/>
      <c r="E5" s="37"/>
      <c r="F5" s="59"/>
      <c r="H5" s="37"/>
      <c r="I5" s="37"/>
      <c r="J5" s="37"/>
      <c r="K5" s="37"/>
      <c r="L5" s="37"/>
      <c r="M5" s="59"/>
      <c r="N5" s="94"/>
    </row>
    <row r="6" spans="1:15" x14ac:dyDescent="0.25">
      <c r="N6" s="94"/>
    </row>
    <row r="7" spans="1:15" x14ac:dyDescent="0.25">
      <c r="A7" s="46" t="s">
        <v>56</v>
      </c>
      <c r="B7" s="46" t="s">
        <v>4</v>
      </c>
      <c r="C7" s="46" t="s">
        <v>57</v>
      </c>
      <c r="D7" s="46" t="s">
        <v>58</v>
      </c>
      <c r="E7" s="46" t="s">
        <v>59</v>
      </c>
      <c r="F7" s="46" t="s">
        <v>18</v>
      </c>
      <c r="H7" s="59" t="s">
        <v>56</v>
      </c>
      <c r="I7" s="46" t="s">
        <v>4</v>
      </c>
      <c r="J7" s="46" t="s">
        <v>57</v>
      </c>
      <c r="K7" s="46" t="s">
        <v>58</v>
      </c>
      <c r="L7" s="46" t="s">
        <v>59</v>
      </c>
      <c r="M7" s="46" t="s">
        <v>18</v>
      </c>
      <c r="N7" s="94"/>
      <c r="O7" s="55"/>
    </row>
    <row r="8" spans="1:15" x14ac:dyDescent="0.25">
      <c r="A8" s="36" t="s">
        <v>81</v>
      </c>
      <c r="B8" s="37" t="s">
        <v>60</v>
      </c>
      <c r="C8" s="38">
        <v>4</v>
      </c>
      <c r="D8" s="38">
        <v>28.68</v>
      </c>
      <c r="E8" s="37">
        <v>8.75</v>
      </c>
      <c r="F8" s="60">
        <v>1003.8</v>
      </c>
      <c r="H8" s="36" t="s">
        <v>87</v>
      </c>
      <c r="I8" s="37" t="s">
        <v>60</v>
      </c>
      <c r="J8" s="38">
        <v>2</v>
      </c>
      <c r="K8" s="38">
        <v>28.68</v>
      </c>
      <c r="L8" s="37">
        <v>8.75</v>
      </c>
      <c r="M8" s="60">
        <v>1003.8</v>
      </c>
      <c r="N8" s="94"/>
    </row>
    <row r="9" spans="1:15" x14ac:dyDescent="0.25">
      <c r="A9" s="37"/>
      <c r="B9" s="37" t="s">
        <v>61</v>
      </c>
      <c r="C9" s="38">
        <v>1</v>
      </c>
      <c r="D9" s="38">
        <v>57.1</v>
      </c>
      <c r="E9" s="37">
        <v>8.75</v>
      </c>
      <c r="F9" s="60">
        <v>499.625</v>
      </c>
      <c r="H9" s="37"/>
      <c r="I9" s="37" t="s">
        <v>88</v>
      </c>
      <c r="J9" s="38">
        <v>1</v>
      </c>
      <c r="K9" s="38">
        <v>82.27</v>
      </c>
      <c r="L9" s="37">
        <v>8.75</v>
      </c>
      <c r="M9" s="60">
        <v>499.625</v>
      </c>
      <c r="N9" s="94" t="s">
        <v>84</v>
      </c>
    </row>
    <row r="10" spans="1:15" x14ac:dyDescent="0.25">
      <c r="A10" s="37"/>
      <c r="B10" s="37"/>
      <c r="C10" s="38"/>
      <c r="D10" s="38"/>
      <c r="E10" s="37"/>
      <c r="F10" s="60">
        <v>1503.425</v>
      </c>
      <c r="H10" s="37"/>
      <c r="I10" s="37"/>
      <c r="J10" s="38"/>
      <c r="K10" s="38"/>
      <c r="L10" s="37"/>
      <c r="M10" s="60">
        <v>1503.425</v>
      </c>
    </row>
    <row r="11" spans="1:15" x14ac:dyDescent="0.25">
      <c r="A11" s="37"/>
      <c r="B11" s="37"/>
      <c r="C11" s="37"/>
      <c r="D11" s="37"/>
      <c r="E11" s="37"/>
      <c r="F11" s="59"/>
      <c r="H11" s="37"/>
      <c r="I11" s="37"/>
      <c r="J11" s="37"/>
      <c r="K11" s="37"/>
      <c r="L11" s="37"/>
      <c r="M11" s="59"/>
    </row>
    <row r="13" spans="1:15" x14ac:dyDescent="0.25">
      <c r="A13" s="46" t="s">
        <v>56</v>
      </c>
      <c r="B13" s="46" t="s">
        <v>4</v>
      </c>
      <c r="C13" s="46" t="s">
        <v>57</v>
      </c>
      <c r="D13" s="46" t="s">
        <v>58</v>
      </c>
      <c r="E13" s="46" t="s">
        <v>59</v>
      </c>
      <c r="F13" s="46" t="s">
        <v>18</v>
      </c>
    </row>
    <row r="14" spans="1:15" x14ac:dyDescent="0.25">
      <c r="A14" s="36" t="s">
        <v>82</v>
      </c>
      <c r="B14" s="37" t="s">
        <v>60</v>
      </c>
      <c r="C14" s="38">
        <v>4</v>
      </c>
      <c r="D14" s="38">
        <v>28.68</v>
      </c>
      <c r="E14" s="37">
        <v>8.75</v>
      </c>
      <c r="F14" s="60">
        <v>1003.8</v>
      </c>
    </row>
    <row r="15" spans="1:15" x14ac:dyDescent="0.25">
      <c r="A15" s="37"/>
      <c r="B15" s="37" t="s">
        <v>61</v>
      </c>
      <c r="C15" s="38">
        <v>1</v>
      </c>
      <c r="D15" s="38">
        <v>57.1</v>
      </c>
      <c r="E15" s="37">
        <v>8.75</v>
      </c>
      <c r="F15" s="60">
        <v>499.625</v>
      </c>
    </row>
    <row r="16" spans="1:15" x14ac:dyDescent="0.25">
      <c r="A16" s="37"/>
      <c r="B16" s="37"/>
      <c r="C16" s="38"/>
      <c r="D16" s="38"/>
      <c r="E16" s="37"/>
      <c r="F16" s="60">
        <v>1503.425</v>
      </c>
    </row>
    <row r="17" spans="1:7" x14ac:dyDescent="0.25">
      <c r="A17" s="37"/>
      <c r="B17" s="37"/>
      <c r="C17" s="37"/>
      <c r="D17" s="37"/>
      <c r="E17" s="37"/>
      <c r="F17" s="59"/>
    </row>
    <row r="19" spans="1:7" x14ac:dyDescent="0.25">
      <c r="A19" s="46" t="s">
        <v>56</v>
      </c>
      <c r="B19" s="46" t="s">
        <v>4</v>
      </c>
      <c r="C19" s="46" t="s">
        <v>57</v>
      </c>
      <c r="D19" s="46" t="s">
        <v>58</v>
      </c>
      <c r="E19" s="46" t="s">
        <v>59</v>
      </c>
      <c r="F19" s="46" t="s">
        <v>18</v>
      </c>
    </row>
    <row r="20" spans="1:7" x14ac:dyDescent="0.25">
      <c r="A20" s="36" t="s">
        <v>83</v>
      </c>
      <c r="B20" s="37" t="s">
        <v>60</v>
      </c>
      <c r="C20" s="38">
        <v>4</v>
      </c>
      <c r="D20" s="38">
        <v>28.68</v>
      </c>
      <c r="E20" s="37">
        <v>8.75</v>
      </c>
      <c r="F20" s="60">
        <v>1003.8</v>
      </c>
    </row>
    <row r="21" spans="1:7" x14ac:dyDescent="0.25">
      <c r="A21" s="37"/>
      <c r="B21" s="37" t="s">
        <v>61</v>
      </c>
      <c r="C21" s="38">
        <v>1</v>
      </c>
      <c r="D21" s="38">
        <v>57.1</v>
      </c>
      <c r="E21" s="37">
        <v>8.75</v>
      </c>
      <c r="F21" s="60">
        <v>499.625</v>
      </c>
    </row>
    <row r="22" spans="1:7" x14ac:dyDescent="0.25">
      <c r="A22" s="37"/>
      <c r="B22" s="37"/>
      <c r="C22" s="38"/>
      <c r="D22" s="38"/>
      <c r="E22" s="37"/>
      <c r="F22" s="60">
        <v>1503.425</v>
      </c>
    </row>
    <row r="23" spans="1:7" x14ac:dyDescent="0.25">
      <c r="A23" s="37"/>
      <c r="B23" s="37"/>
      <c r="C23" s="37"/>
      <c r="D23" s="37"/>
      <c r="E23" s="37"/>
      <c r="F23" s="60"/>
    </row>
    <row r="25" spans="1:7" x14ac:dyDescent="0.25">
      <c r="A25" s="46" t="s">
        <v>56</v>
      </c>
      <c r="B25" s="46" t="s">
        <v>4</v>
      </c>
      <c r="C25" s="46" t="s">
        <v>57</v>
      </c>
      <c r="D25" s="46" t="s">
        <v>58</v>
      </c>
      <c r="E25" s="46" t="s">
        <v>59</v>
      </c>
      <c r="F25" s="46" t="s">
        <v>18</v>
      </c>
    </row>
    <row r="26" spans="1:7" x14ac:dyDescent="0.25">
      <c r="A26" s="36" t="s">
        <v>86</v>
      </c>
      <c r="B26" s="37" t="s">
        <v>60</v>
      </c>
      <c r="C26" s="38">
        <v>2</v>
      </c>
      <c r="D26" s="38">
        <v>28.68</v>
      </c>
      <c r="E26" s="37">
        <v>8.75</v>
      </c>
      <c r="F26" s="60">
        <v>1003.8</v>
      </c>
    </row>
    <row r="27" spans="1:7" x14ac:dyDescent="0.25">
      <c r="A27" s="37"/>
      <c r="B27" s="37" t="s">
        <v>89</v>
      </c>
      <c r="C27" s="38">
        <v>1</v>
      </c>
      <c r="D27" s="38">
        <v>82.27</v>
      </c>
      <c r="E27" s="37">
        <v>8.75</v>
      </c>
      <c r="F27" s="60">
        <v>499.625</v>
      </c>
    </row>
    <row r="28" spans="1:7" x14ac:dyDescent="0.25">
      <c r="A28" s="37"/>
      <c r="B28" s="37"/>
      <c r="C28" s="38"/>
      <c r="D28" s="38"/>
      <c r="E28" s="37"/>
      <c r="F28" s="60">
        <v>1503.425</v>
      </c>
      <c r="G28" s="94" t="s">
        <v>84</v>
      </c>
    </row>
    <row r="29" spans="1:7" x14ac:dyDescent="0.25">
      <c r="A29" s="37"/>
      <c r="B29" s="37"/>
      <c r="C29" s="37"/>
      <c r="D29" s="37"/>
      <c r="E29" s="37"/>
      <c r="F29" s="59"/>
    </row>
    <row r="31" spans="1:7" x14ac:dyDescent="0.25">
      <c r="F31" s="100">
        <f>F4+F10+F16+F22+F28+M4+M10</f>
        <v>10523.974999999999</v>
      </c>
    </row>
    <row r="32" spans="1:7" x14ac:dyDescent="0.25">
      <c r="F32" s="5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5ECD-A7FB-4769-847E-A6D0895F872F}">
  <dimension ref="A1:V30"/>
  <sheetViews>
    <sheetView topLeftCell="C1" workbookViewId="0">
      <selection activeCell="H30" sqref="H30"/>
    </sheetView>
  </sheetViews>
  <sheetFormatPr defaultRowHeight="15" x14ac:dyDescent="0.25"/>
  <cols>
    <col min="2" max="2" width="17.42578125" customWidth="1"/>
    <col min="5" max="5" width="10.5703125" bestFit="1" customWidth="1"/>
    <col min="6" max="6" width="11.5703125" customWidth="1"/>
    <col min="8" max="8" width="16" customWidth="1"/>
    <col min="9" max="9" width="14.42578125" customWidth="1"/>
    <col min="13" max="13" width="10.5703125" bestFit="1" customWidth="1"/>
    <col min="14" max="14" width="17.28515625" customWidth="1"/>
    <col min="16" max="16" width="13.140625" customWidth="1"/>
    <col min="20" max="20" width="10.5703125" bestFit="1" customWidth="1"/>
  </cols>
  <sheetData>
    <row r="1" spans="1:22" x14ac:dyDescent="0.25">
      <c r="A1" s="46" t="s">
        <v>56</v>
      </c>
      <c r="B1" s="46" t="s">
        <v>4</v>
      </c>
      <c r="C1" s="46" t="s">
        <v>57</v>
      </c>
      <c r="D1" s="46" t="s">
        <v>58</v>
      </c>
      <c r="E1" s="46" t="s">
        <v>59</v>
      </c>
      <c r="F1" s="46" t="s">
        <v>18</v>
      </c>
      <c r="K1" s="103"/>
      <c r="M1" s="55"/>
      <c r="N1" s="94"/>
      <c r="O1" s="46" t="s">
        <v>56</v>
      </c>
      <c r="P1" s="46" t="s">
        <v>4</v>
      </c>
      <c r="Q1" s="46" t="s">
        <v>57</v>
      </c>
      <c r="R1" s="46" t="s">
        <v>58</v>
      </c>
      <c r="S1" s="46" t="s">
        <v>59</v>
      </c>
      <c r="T1" s="46" t="s">
        <v>18</v>
      </c>
    </row>
    <row r="2" spans="1:22" x14ac:dyDescent="0.25">
      <c r="A2" s="36" t="s">
        <v>102</v>
      </c>
      <c r="B2" s="37" t="s">
        <v>60</v>
      </c>
      <c r="C2" s="38">
        <v>2</v>
      </c>
      <c r="D2" s="38">
        <v>26.44</v>
      </c>
      <c r="E2" s="37">
        <v>8.75</v>
      </c>
      <c r="F2" s="60">
        <f>E2*D2*C2</f>
        <v>462.70000000000005</v>
      </c>
      <c r="H2" s="46" t="s">
        <v>56</v>
      </c>
      <c r="I2" s="46" t="s">
        <v>4</v>
      </c>
      <c r="J2" s="46" t="s">
        <v>57</v>
      </c>
      <c r="K2" s="104" t="s">
        <v>58</v>
      </c>
      <c r="L2" s="46" t="s">
        <v>59</v>
      </c>
      <c r="M2" s="59" t="s">
        <v>18</v>
      </c>
      <c r="N2" s="94"/>
      <c r="O2" s="37" t="s">
        <v>106</v>
      </c>
      <c r="P2" s="37" t="s">
        <v>60</v>
      </c>
      <c r="Q2" s="37">
        <v>2</v>
      </c>
      <c r="R2" s="37">
        <v>26.44</v>
      </c>
      <c r="S2" s="37">
        <v>8.75</v>
      </c>
      <c r="T2" s="60">
        <v>462.70000000000005</v>
      </c>
    </row>
    <row r="3" spans="1:22" x14ac:dyDescent="0.25">
      <c r="A3" s="37"/>
      <c r="B3" s="37" t="s">
        <v>60</v>
      </c>
      <c r="C3" s="38">
        <v>1</v>
      </c>
      <c r="D3" s="38">
        <v>28.13</v>
      </c>
      <c r="E3" s="37">
        <v>8.75</v>
      </c>
      <c r="F3" s="60">
        <f>E3*D3*C3</f>
        <v>246.13749999999999</v>
      </c>
      <c r="G3" s="94" t="s">
        <v>101</v>
      </c>
      <c r="H3" s="37" t="s">
        <v>103</v>
      </c>
      <c r="I3" s="88" t="s">
        <v>60</v>
      </c>
      <c r="J3" s="37">
        <v>2</v>
      </c>
      <c r="K3" s="102">
        <v>28.68</v>
      </c>
      <c r="L3" s="37">
        <v>8.75</v>
      </c>
      <c r="M3" s="60">
        <v>1003.8</v>
      </c>
      <c r="N3" s="94"/>
      <c r="O3" s="37"/>
      <c r="P3" s="37" t="s">
        <v>60</v>
      </c>
      <c r="Q3" s="37">
        <v>1</v>
      </c>
      <c r="R3" s="37">
        <v>28.13</v>
      </c>
      <c r="S3" s="37">
        <v>8.75</v>
      </c>
      <c r="T3" s="60">
        <v>246.13749999999999</v>
      </c>
      <c r="U3" s="94" t="s">
        <v>107</v>
      </c>
      <c r="V3" s="94"/>
    </row>
    <row r="4" spans="1:22" x14ac:dyDescent="0.25">
      <c r="A4" s="37"/>
      <c r="B4" s="37" t="s">
        <v>89</v>
      </c>
      <c r="C4" s="38">
        <v>1</v>
      </c>
      <c r="D4" s="38">
        <v>82.27</v>
      </c>
      <c r="E4" s="37">
        <v>8.75</v>
      </c>
      <c r="F4" s="60">
        <v>719.86249999999995</v>
      </c>
      <c r="G4" s="94"/>
      <c r="H4" s="37"/>
      <c r="I4" t="s">
        <v>60</v>
      </c>
      <c r="J4" s="37">
        <v>2</v>
      </c>
      <c r="K4" s="37">
        <v>26.44</v>
      </c>
      <c r="L4" s="37">
        <v>8.75</v>
      </c>
      <c r="M4" s="60">
        <f>L4*K4*J4</f>
        <v>462.70000000000005</v>
      </c>
      <c r="N4" s="94" t="s">
        <v>108</v>
      </c>
      <c r="O4" s="37"/>
      <c r="P4" s="37" t="s">
        <v>89</v>
      </c>
      <c r="Q4" s="37">
        <v>1</v>
      </c>
      <c r="R4" s="37">
        <v>82.27</v>
      </c>
      <c r="S4" s="37">
        <v>8.75</v>
      </c>
      <c r="T4" s="60">
        <v>719.86249999999995</v>
      </c>
      <c r="U4" s="94"/>
    </row>
    <row r="5" spans="1:22" x14ac:dyDescent="0.25">
      <c r="A5" s="37"/>
      <c r="B5" s="37"/>
      <c r="C5" s="37"/>
      <c r="D5" s="37"/>
      <c r="E5" s="37"/>
      <c r="F5" s="59">
        <v>1428.7</v>
      </c>
      <c r="G5" s="94"/>
      <c r="H5" s="37"/>
      <c r="I5" s="88" t="s">
        <v>88</v>
      </c>
      <c r="J5" s="37">
        <v>2</v>
      </c>
      <c r="K5" s="102">
        <v>82.27</v>
      </c>
      <c r="L5" s="37">
        <v>8.75</v>
      </c>
      <c r="M5" s="60">
        <f>L5*K5*J5</f>
        <v>1439.7249999999999</v>
      </c>
      <c r="N5" s="94"/>
      <c r="O5" s="37"/>
      <c r="P5" s="37" t="s">
        <v>89</v>
      </c>
      <c r="Q5" s="37">
        <v>1</v>
      </c>
      <c r="R5" s="37">
        <v>41.14</v>
      </c>
      <c r="S5" s="37">
        <v>8.75</v>
      </c>
      <c r="T5" s="60">
        <f>S5*R5*Q5</f>
        <v>359.97500000000002</v>
      </c>
      <c r="U5" s="94"/>
    </row>
    <row r="6" spans="1:22" x14ac:dyDescent="0.25">
      <c r="G6" s="94"/>
      <c r="H6" s="37"/>
      <c r="I6" s="88"/>
      <c r="J6" s="37"/>
      <c r="K6" s="102"/>
      <c r="L6" s="37"/>
      <c r="M6" s="60">
        <f>M3+M4+M5</f>
        <v>2906.2249999999999</v>
      </c>
      <c r="N6" s="94"/>
      <c r="O6" s="37"/>
      <c r="P6" s="37"/>
      <c r="Q6" s="37"/>
      <c r="R6" s="37"/>
      <c r="S6" s="37"/>
      <c r="T6" s="37"/>
      <c r="U6" s="94"/>
    </row>
    <row r="7" spans="1:22" x14ac:dyDescent="0.25">
      <c r="A7" s="46" t="s">
        <v>56</v>
      </c>
      <c r="B7" s="46" t="s">
        <v>4</v>
      </c>
      <c r="C7" s="46" t="s">
        <v>57</v>
      </c>
      <c r="D7" s="46" t="s">
        <v>58</v>
      </c>
      <c r="E7" s="46" t="s">
        <v>59</v>
      </c>
      <c r="F7" s="46" t="s">
        <v>18</v>
      </c>
      <c r="G7" s="94"/>
      <c r="H7" s="37"/>
      <c r="I7" s="37"/>
      <c r="J7" s="37"/>
      <c r="K7" s="37"/>
      <c r="L7" s="37"/>
      <c r="M7" s="37"/>
      <c r="O7" s="37"/>
      <c r="P7" s="37"/>
      <c r="Q7" s="37"/>
      <c r="R7" s="37"/>
      <c r="S7" s="37"/>
      <c r="T7" s="60">
        <f>T2+T3+T4+T5</f>
        <v>1788.6750000000002</v>
      </c>
      <c r="U7" s="94"/>
    </row>
    <row r="8" spans="1:22" x14ac:dyDescent="0.25">
      <c r="A8" s="37" t="s">
        <v>102</v>
      </c>
      <c r="B8" s="37" t="s">
        <v>60</v>
      </c>
      <c r="C8" s="38">
        <v>4</v>
      </c>
      <c r="D8" s="38">
        <v>28.68</v>
      </c>
      <c r="E8" s="37">
        <v>8.75</v>
      </c>
      <c r="F8" s="60">
        <v>1003.8</v>
      </c>
      <c r="G8" s="94"/>
      <c r="U8" s="94"/>
    </row>
    <row r="9" spans="1:22" x14ac:dyDescent="0.25">
      <c r="A9" s="37"/>
      <c r="B9" s="37" t="s">
        <v>61</v>
      </c>
      <c r="C9" s="38">
        <v>1</v>
      </c>
      <c r="D9" s="38">
        <v>57.1</v>
      </c>
      <c r="E9" s="37">
        <v>8.75</v>
      </c>
      <c r="F9" s="60">
        <v>499.625</v>
      </c>
      <c r="G9" s="94" t="s">
        <v>78</v>
      </c>
      <c r="H9" s="46" t="s">
        <v>56</v>
      </c>
      <c r="I9" s="46" t="s">
        <v>4</v>
      </c>
      <c r="J9" s="46" t="s">
        <v>57</v>
      </c>
      <c r="K9" s="104" t="s">
        <v>58</v>
      </c>
      <c r="L9" s="46" t="s">
        <v>59</v>
      </c>
      <c r="M9" s="59" t="s">
        <v>18</v>
      </c>
      <c r="N9" s="94"/>
      <c r="O9" s="46" t="s">
        <v>56</v>
      </c>
      <c r="P9" s="46" t="s">
        <v>4</v>
      </c>
      <c r="Q9" s="46" t="s">
        <v>57</v>
      </c>
      <c r="R9" s="46" t="s">
        <v>58</v>
      </c>
      <c r="S9" s="46" t="s">
        <v>59</v>
      </c>
      <c r="T9" s="46" t="s">
        <v>18</v>
      </c>
      <c r="U9" s="94"/>
    </row>
    <row r="10" spans="1:22" x14ac:dyDescent="0.25">
      <c r="A10" s="37"/>
      <c r="B10" s="37"/>
      <c r="C10" s="37"/>
      <c r="D10" s="37"/>
      <c r="E10" s="37"/>
      <c r="F10" s="59">
        <v>1503.425</v>
      </c>
      <c r="H10" s="37" t="s">
        <v>104</v>
      </c>
      <c r="I10" s="37" t="s">
        <v>60</v>
      </c>
      <c r="J10" s="37">
        <v>4</v>
      </c>
      <c r="K10" s="102">
        <v>28.68</v>
      </c>
      <c r="L10" s="37">
        <v>8.75</v>
      </c>
      <c r="M10" s="60">
        <v>1003.8</v>
      </c>
      <c r="N10" s="94"/>
      <c r="O10" s="37" t="s">
        <v>105</v>
      </c>
      <c r="P10" s="37" t="s">
        <v>60</v>
      </c>
      <c r="Q10" s="37">
        <v>2</v>
      </c>
      <c r="R10" s="37">
        <v>26.44</v>
      </c>
      <c r="S10" s="37">
        <v>8.75</v>
      </c>
      <c r="T10" s="60">
        <f>S10*R10*Q10</f>
        <v>462.70000000000005</v>
      </c>
      <c r="U10" s="94" t="s">
        <v>101</v>
      </c>
    </row>
    <row r="11" spans="1:22" x14ac:dyDescent="0.25">
      <c r="H11" s="37"/>
      <c r="I11" s="37" t="s">
        <v>61</v>
      </c>
      <c r="J11" s="37">
        <v>1</v>
      </c>
      <c r="K11" s="102">
        <v>57.1</v>
      </c>
      <c r="L11" s="37">
        <v>8.75</v>
      </c>
      <c r="M11" s="60">
        <v>499.625</v>
      </c>
      <c r="N11" s="94" t="s">
        <v>78</v>
      </c>
      <c r="O11" s="37"/>
      <c r="P11" s="37" t="s">
        <v>60</v>
      </c>
      <c r="Q11" s="37">
        <v>1</v>
      </c>
      <c r="R11" s="37">
        <v>28.13</v>
      </c>
      <c r="S11" s="37">
        <v>8.75</v>
      </c>
      <c r="T11" s="60">
        <v>246.13749999999999</v>
      </c>
      <c r="U11" s="94"/>
      <c r="V11" s="94"/>
    </row>
    <row r="12" spans="1:22" x14ac:dyDescent="0.25">
      <c r="A12" t="s">
        <v>56</v>
      </c>
      <c r="B12" t="s">
        <v>4</v>
      </c>
      <c r="C12" t="s">
        <v>57</v>
      </c>
      <c r="D12" t="s">
        <v>58</v>
      </c>
      <c r="E12" t="s">
        <v>59</v>
      </c>
      <c r="F12" t="s">
        <v>18</v>
      </c>
      <c r="H12" s="37"/>
      <c r="I12" s="37"/>
      <c r="J12" s="37"/>
      <c r="K12" s="102"/>
      <c r="L12" s="37"/>
      <c r="M12" s="60">
        <v>1503.425</v>
      </c>
      <c r="N12" s="94"/>
      <c r="O12" s="37"/>
      <c r="P12" s="37" t="s">
        <v>89</v>
      </c>
      <c r="Q12" s="37">
        <v>1</v>
      </c>
      <c r="R12" s="37">
        <v>82.27</v>
      </c>
      <c r="S12" s="37">
        <v>8.75</v>
      </c>
      <c r="T12" s="60">
        <v>719.86249999999995</v>
      </c>
      <c r="U12" s="94"/>
      <c r="V12" s="94"/>
    </row>
    <row r="13" spans="1:22" x14ac:dyDescent="0.25">
      <c r="A13" s="37" t="s">
        <v>100</v>
      </c>
      <c r="B13" s="37" t="s">
        <v>60</v>
      </c>
      <c r="C13" s="37">
        <v>4</v>
      </c>
      <c r="D13" s="37">
        <v>28.68</v>
      </c>
      <c r="E13" s="60">
        <v>8.75</v>
      </c>
      <c r="F13" s="60">
        <v>1003.8</v>
      </c>
      <c r="H13" s="37"/>
      <c r="I13" s="37"/>
      <c r="J13" s="37"/>
      <c r="K13" s="37"/>
      <c r="L13" s="37"/>
      <c r="M13" s="60"/>
      <c r="O13" s="37"/>
      <c r="P13" s="37"/>
      <c r="Q13" s="37"/>
      <c r="R13" s="37"/>
      <c r="S13" s="37"/>
      <c r="T13" s="60">
        <f>T10+T11+T12</f>
        <v>1428.7</v>
      </c>
      <c r="U13" s="94"/>
      <c r="V13" s="94"/>
    </row>
    <row r="14" spans="1:22" x14ac:dyDescent="0.25">
      <c r="A14" s="37"/>
      <c r="B14" s="37" t="s">
        <v>61</v>
      </c>
      <c r="C14" s="37">
        <v>1</v>
      </c>
      <c r="D14" s="37">
        <v>57.1</v>
      </c>
      <c r="E14" s="37">
        <v>8.75</v>
      </c>
      <c r="F14" s="60">
        <v>499.625</v>
      </c>
      <c r="G14" s="94" t="s">
        <v>78</v>
      </c>
      <c r="M14" s="55"/>
      <c r="U14" s="94"/>
      <c r="V14" s="94"/>
    </row>
    <row r="15" spans="1:22" x14ac:dyDescent="0.25">
      <c r="A15" s="37"/>
      <c r="B15" s="37"/>
      <c r="C15" s="37"/>
      <c r="D15" s="37"/>
      <c r="E15" s="37"/>
      <c r="F15" s="60">
        <v>1503.425</v>
      </c>
      <c r="H15" s="46" t="s">
        <v>56</v>
      </c>
      <c r="I15" s="46" t="s">
        <v>4</v>
      </c>
      <c r="J15" s="46" t="s">
        <v>57</v>
      </c>
      <c r="K15" s="46" t="s">
        <v>58</v>
      </c>
      <c r="L15" s="46" t="s">
        <v>59</v>
      </c>
      <c r="M15" s="46" t="s">
        <v>18</v>
      </c>
      <c r="U15" s="94"/>
      <c r="V15" s="94"/>
    </row>
    <row r="16" spans="1:22" x14ac:dyDescent="0.25">
      <c r="A16" s="37"/>
      <c r="B16" s="37"/>
      <c r="C16" s="37"/>
      <c r="D16" s="37"/>
      <c r="E16" s="37"/>
      <c r="F16" s="59">
        <v>1503.425</v>
      </c>
      <c r="H16" s="37" t="s">
        <v>104</v>
      </c>
      <c r="I16" s="37" t="s">
        <v>60</v>
      </c>
      <c r="J16" s="37">
        <v>2</v>
      </c>
      <c r="K16" s="37">
        <v>28.68</v>
      </c>
      <c r="L16" s="37">
        <v>8.75</v>
      </c>
      <c r="M16" s="60">
        <v>1003.8</v>
      </c>
      <c r="U16" s="94"/>
      <c r="V16" s="94"/>
    </row>
    <row r="17" spans="1:22" x14ac:dyDescent="0.25">
      <c r="H17" s="37"/>
      <c r="I17" s="37" t="s">
        <v>60</v>
      </c>
      <c r="J17" s="37">
        <v>2</v>
      </c>
      <c r="K17" s="37">
        <v>26.44</v>
      </c>
      <c r="L17" s="37">
        <v>8.75</v>
      </c>
      <c r="M17" s="60">
        <v>462.70000000000005</v>
      </c>
      <c r="N17" s="94" t="s">
        <v>108</v>
      </c>
      <c r="V17" s="94"/>
    </row>
    <row r="18" spans="1:22" x14ac:dyDescent="0.25">
      <c r="A18" s="46" t="s">
        <v>56</v>
      </c>
      <c r="B18" s="46" t="s">
        <v>4</v>
      </c>
      <c r="C18" s="46" t="s">
        <v>57</v>
      </c>
      <c r="D18" s="46" t="s">
        <v>58</v>
      </c>
      <c r="E18" s="46" t="s">
        <v>59</v>
      </c>
      <c r="F18" s="46" t="s">
        <v>18</v>
      </c>
      <c r="H18" s="37"/>
      <c r="I18" s="37" t="s">
        <v>88</v>
      </c>
      <c r="J18" s="37">
        <v>2</v>
      </c>
      <c r="K18" s="37">
        <v>82.27</v>
      </c>
      <c r="L18" s="37">
        <v>8.75</v>
      </c>
      <c r="M18" s="60">
        <v>1439.7249999999999</v>
      </c>
      <c r="N18" s="94"/>
      <c r="U18" s="94"/>
      <c r="V18" s="94"/>
    </row>
    <row r="19" spans="1:22" x14ac:dyDescent="0.25">
      <c r="A19" s="37" t="s">
        <v>100</v>
      </c>
      <c r="B19" s="37" t="s">
        <v>60</v>
      </c>
      <c r="C19" s="37">
        <v>2</v>
      </c>
      <c r="D19" s="37">
        <v>26.44</v>
      </c>
      <c r="E19" s="37">
        <v>8.75</v>
      </c>
      <c r="F19" s="60">
        <v>462.70000000000005</v>
      </c>
      <c r="H19" s="37"/>
      <c r="I19" s="37"/>
      <c r="J19" s="37"/>
      <c r="K19" s="37"/>
      <c r="L19" s="37"/>
      <c r="M19" s="60">
        <v>2906.2249999999999</v>
      </c>
      <c r="N19" s="94"/>
    </row>
    <row r="20" spans="1:22" x14ac:dyDescent="0.25">
      <c r="A20" s="37"/>
      <c r="B20" s="37" t="s">
        <v>60</v>
      </c>
      <c r="C20" s="37">
        <v>1</v>
      </c>
      <c r="D20" s="37">
        <v>28.13</v>
      </c>
      <c r="E20" s="37">
        <v>8.75</v>
      </c>
      <c r="F20" s="37">
        <v>246.13749999999999</v>
      </c>
      <c r="H20" s="37"/>
      <c r="I20" s="37"/>
      <c r="J20" s="37"/>
      <c r="K20" s="37"/>
      <c r="L20" s="37"/>
      <c r="M20" s="60"/>
      <c r="N20" s="94"/>
    </row>
    <row r="21" spans="1:22" x14ac:dyDescent="0.25">
      <c r="A21" s="37"/>
      <c r="B21" s="37" t="s">
        <v>89</v>
      </c>
      <c r="C21" s="37">
        <v>1</v>
      </c>
      <c r="D21" s="37">
        <v>82.27</v>
      </c>
      <c r="E21" s="37">
        <v>8.75</v>
      </c>
      <c r="F21" s="37">
        <v>719.86249999999995</v>
      </c>
      <c r="G21" s="94" t="s">
        <v>101</v>
      </c>
      <c r="N21" s="94"/>
    </row>
    <row r="22" spans="1:22" x14ac:dyDescent="0.25">
      <c r="A22" s="37"/>
      <c r="B22" s="37"/>
      <c r="C22" s="37"/>
      <c r="D22" s="37"/>
      <c r="E22" s="37"/>
      <c r="F22" s="37">
        <v>1428.7</v>
      </c>
      <c r="H22" s="46" t="s">
        <v>56</v>
      </c>
      <c r="I22" s="46" t="s">
        <v>4</v>
      </c>
      <c r="J22" s="46" t="s">
        <v>57</v>
      </c>
      <c r="K22" s="46" t="s">
        <v>58</v>
      </c>
      <c r="L22" s="46" t="s">
        <v>59</v>
      </c>
      <c r="M22" s="46" t="s">
        <v>18</v>
      </c>
      <c r="N22" s="94"/>
    </row>
    <row r="23" spans="1:22" x14ac:dyDescent="0.25">
      <c r="H23" s="37" t="s">
        <v>106</v>
      </c>
      <c r="I23" s="37" t="s">
        <v>60</v>
      </c>
      <c r="J23" s="37">
        <v>5</v>
      </c>
      <c r="K23" s="37">
        <v>28.68</v>
      </c>
      <c r="L23" s="37">
        <v>8.75</v>
      </c>
      <c r="M23" s="60">
        <f>L23*K23*J23</f>
        <v>1254.75</v>
      </c>
      <c r="N23" s="94" t="s">
        <v>78</v>
      </c>
      <c r="U23" s="94"/>
    </row>
    <row r="24" spans="1:22" x14ac:dyDescent="0.25">
      <c r="A24" s="46" t="s">
        <v>56</v>
      </c>
      <c r="B24" s="46" t="s">
        <v>4</v>
      </c>
      <c r="C24" s="46" t="s">
        <v>57</v>
      </c>
      <c r="D24" s="46" t="s">
        <v>58</v>
      </c>
      <c r="E24" s="46" t="s">
        <v>59</v>
      </c>
      <c r="F24" s="46" t="s">
        <v>18</v>
      </c>
      <c r="H24" s="37"/>
      <c r="I24" s="37" t="s">
        <v>61</v>
      </c>
      <c r="J24" s="37">
        <v>1</v>
      </c>
      <c r="K24" s="37">
        <v>57.1</v>
      </c>
      <c r="L24" s="37">
        <v>8.75</v>
      </c>
      <c r="M24" s="60">
        <v>499.625</v>
      </c>
    </row>
    <row r="25" spans="1:22" x14ac:dyDescent="0.25">
      <c r="A25" s="37" t="s">
        <v>103</v>
      </c>
      <c r="B25" s="37" t="s">
        <v>60</v>
      </c>
      <c r="C25" s="37">
        <v>4</v>
      </c>
      <c r="D25" s="37">
        <v>28.68</v>
      </c>
      <c r="E25" s="37">
        <v>8.75</v>
      </c>
      <c r="F25" s="60">
        <v>1003.8</v>
      </c>
      <c r="H25" s="37"/>
      <c r="I25" s="37"/>
      <c r="J25" s="37"/>
      <c r="K25" s="37"/>
      <c r="L25" s="37"/>
      <c r="M25" s="60">
        <f>M23+M24</f>
        <v>1754.375</v>
      </c>
    </row>
    <row r="26" spans="1:22" x14ac:dyDescent="0.25">
      <c r="A26" s="37"/>
      <c r="B26" s="37" t="s">
        <v>61</v>
      </c>
      <c r="C26" s="37">
        <v>1</v>
      </c>
      <c r="D26" s="37">
        <v>57.1</v>
      </c>
      <c r="E26" s="37">
        <v>8.75</v>
      </c>
      <c r="F26" s="60">
        <v>499.625</v>
      </c>
      <c r="G26" s="94" t="s">
        <v>78</v>
      </c>
      <c r="H26" s="37"/>
      <c r="I26" s="37"/>
      <c r="J26" s="37"/>
      <c r="K26" s="37"/>
      <c r="L26" s="37"/>
      <c r="M26" s="37"/>
    </row>
    <row r="27" spans="1:22" x14ac:dyDescent="0.25">
      <c r="A27" s="37"/>
      <c r="B27" s="37"/>
      <c r="C27" s="37"/>
      <c r="D27" s="37"/>
      <c r="E27" s="37"/>
      <c r="F27" s="60">
        <v>1503.425</v>
      </c>
    </row>
    <row r="28" spans="1:22" x14ac:dyDescent="0.25">
      <c r="A28" s="37"/>
      <c r="B28" s="37"/>
      <c r="C28" s="37"/>
      <c r="D28" s="37"/>
      <c r="E28" s="37"/>
      <c r="F28" s="60">
        <v>1503.425</v>
      </c>
    </row>
    <row r="30" spans="1:22" x14ac:dyDescent="0.25">
      <c r="H30" s="100">
        <f>F5+F10+F16+F22+F28+M6+M12+M19+M25+T7+T13</f>
        <v>19655.3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E316-EBDA-457E-A683-F80BCFB4B58C}">
  <sheetPr>
    <pageSetUpPr fitToPage="1"/>
  </sheetPr>
  <dimension ref="A1:D31"/>
  <sheetViews>
    <sheetView zoomScaleNormal="100" workbookViewId="0">
      <selection activeCell="K23" sqref="K23"/>
    </sheetView>
  </sheetViews>
  <sheetFormatPr defaultColWidth="9.140625" defaultRowHeight="15" x14ac:dyDescent="0.25"/>
  <cols>
    <col min="1" max="1" width="24.140625" style="7" customWidth="1"/>
    <col min="2" max="2" width="14.5703125" style="14" customWidth="1"/>
    <col min="3" max="3" width="14" style="7" customWidth="1"/>
    <col min="4" max="4" width="23.7109375" style="7" customWidth="1"/>
    <col min="5" max="16384" width="9.140625" style="7"/>
  </cols>
  <sheetData>
    <row r="1" spans="1:4" s="1" customFormat="1" ht="30" customHeight="1" x14ac:dyDescent="0.25">
      <c r="A1" s="6" t="str">
        <f>PO!A1</f>
        <v>Illovu Landfill</v>
      </c>
      <c r="B1" s="6"/>
    </row>
    <row r="2" spans="1:4" s="1" customFormat="1" ht="30" customHeight="1" x14ac:dyDescent="0.25">
      <c r="A2" s="144" t="s">
        <v>62</v>
      </c>
      <c r="B2" s="144"/>
    </row>
    <row r="3" spans="1:4" x14ac:dyDescent="0.25">
      <c r="B3" s="7"/>
    </row>
    <row r="4" spans="1:4" ht="63.75" customHeight="1" x14ac:dyDescent="0.25">
      <c r="B4" s="32" t="s">
        <v>55</v>
      </c>
      <c r="C4" s="11" t="s">
        <v>63</v>
      </c>
      <c r="D4" s="11" t="s">
        <v>64</v>
      </c>
    </row>
    <row r="5" spans="1:4" x14ac:dyDescent="0.25">
      <c r="A5" s="13" t="s">
        <v>65</v>
      </c>
      <c r="B5" s="12"/>
      <c r="C5" s="30"/>
      <c r="D5" s="34"/>
    </row>
    <row r="6" spans="1:4" x14ac:dyDescent="0.25">
      <c r="A6" s="13" t="s">
        <v>66</v>
      </c>
      <c r="B6" s="12"/>
      <c r="C6" s="30"/>
      <c r="D6" s="34"/>
    </row>
    <row r="7" spans="1:4" x14ac:dyDescent="0.25">
      <c r="A7" s="13" t="s">
        <v>67</v>
      </c>
      <c r="B7" s="12"/>
      <c r="C7" s="30"/>
      <c r="D7" s="34"/>
    </row>
    <row r="8" spans="1:4" x14ac:dyDescent="0.25">
      <c r="A8" s="13" t="s">
        <v>68</v>
      </c>
      <c r="B8" s="12"/>
      <c r="C8" s="30"/>
      <c r="D8" s="34"/>
    </row>
    <row r="9" spans="1:4" x14ac:dyDescent="0.25">
      <c r="A9" s="13" t="s">
        <v>69</v>
      </c>
      <c r="B9" s="12"/>
      <c r="C9" s="30"/>
      <c r="D9" s="34"/>
    </row>
    <row r="10" spans="1:4" x14ac:dyDescent="0.25">
      <c r="A10" s="13" t="s">
        <v>70</v>
      </c>
      <c r="B10" s="12"/>
      <c r="C10" s="30"/>
      <c r="D10" s="34"/>
    </row>
    <row r="11" spans="1:4" x14ac:dyDescent="0.25">
      <c r="A11" s="13" t="s">
        <v>71</v>
      </c>
      <c r="B11" s="12"/>
      <c r="C11" s="30"/>
      <c r="D11" s="34"/>
    </row>
    <row r="12" spans="1:4" ht="14.45" customHeight="1" x14ac:dyDescent="0.25">
      <c r="A12" s="30" t="s">
        <v>18</v>
      </c>
      <c r="B12" s="33">
        <f>SUM(B5:B11)</f>
        <v>0</v>
      </c>
      <c r="C12" s="35"/>
      <c r="D12" s="5"/>
    </row>
    <row r="13" spans="1:4" x14ac:dyDescent="0.25">
      <c r="D13" s="7" t="s">
        <v>72</v>
      </c>
    </row>
    <row r="16" spans="1:4" x14ac:dyDescent="0.25">
      <c r="B16" s="27"/>
    </row>
    <row r="19" spans="2:2" x14ac:dyDescent="0.25">
      <c r="B19" s="7"/>
    </row>
    <row r="20" spans="2:2" x14ac:dyDescent="0.25">
      <c r="B20" s="7"/>
    </row>
    <row r="21" spans="2:2" x14ac:dyDescent="0.25">
      <c r="B21" s="7"/>
    </row>
    <row r="22" spans="2:2" x14ac:dyDescent="0.25">
      <c r="B22" s="7"/>
    </row>
    <row r="23" spans="2:2" x14ac:dyDescent="0.25">
      <c r="B23" s="7"/>
    </row>
    <row r="24" spans="2:2" x14ac:dyDescent="0.25">
      <c r="B24" s="7"/>
    </row>
    <row r="25" spans="2:2" x14ac:dyDescent="0.25">
      <c r="B25" s="7"/>
    </row>
    <row r="26" spans="2:2" x14ac:dyDescent="0.25">
      <c r="B26" s="7"/>
    </row>
    <row r="27" spans="2:2" x14ac:dyDescent="0.25">
      <c r="B27" s="7"/>
    </row>
    <row r="28" spans="2:2" x14ac:dyDescent="0.25">
      <c r="B28" s="7"/>
    </row>
    <row r="29" spans="2:2" x14ac:dyDescent="0.25">
      <c r="B29" s="7"/>
    </row>
    <row r="30" spans="2:2" x14ac:dyDescent="0.25">
      <c r="B30" s="7"/>
    </row>
    <row r="31" spans="2:2" x14ac:dyDescent="0.25">
      <c r="B31" s="7"/>
    </row>
  </sheetData>
  <mergeCells count="1">
    <mergeCell ref="A2:B2"/>
  </mergeCells>
  <printOptions horizontalCentered="1" verticalCentered="1"/>
  <pageMargins left="7.874015748031496E-2" right="7.874015748031496E-2" top="0.74803149606299213" bottom="0.74803149606299213" header="0.31496062992125984" footer="0.31496062992125984"/>
  <pageSetup paperSize="9" scale="78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3990c6-5d32-4350-bba6-81eb8ab5200a">
      <Terms xmlns="http://schemas.microsoft.com/office/infopath/2007/PartnerControls"/>
    </lcf76f155ced4ddcb4097134ff3c332f>
    <TaxCatchAll xmlns="04feef99-db26-4822-907a-35193553fa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4810318687846BF60022B9313F693" ma:contentTypeVersion="18" ma:contentTypeDescription="Create a new document." ma:contentTypeScope="" ma:versionID="9c338059b4923c5cfcbea436cc0d05e0">
  <xsd:schema xmlns:xsd="http://www.w3.org/2001/XMLSchema" xmlns:xs="http://www.w3.org/2001/XMLSchema" xmlns:p="http://schemas.microsoft.com/office/2006/metadata/properties" xmlns:ns2="803990c6-5d32-4350-bba6-81eb8ab5200a" xmlns:ns3="04feef99-db26-4822-907a-35193553fac7" targetNamespace="http://schemas.microsoft.com/office/2006/metadata/properties" ma:root="true" ma:fieldsID="560e0d0d7294208d44cb5b495fed9c48" ns2:_="" ns3:_="">
    <xsd:import namespace="803990c6-5d32-4350-bba6-81eb8ab5200a"/>
    <xsd:import namespace="04feef99-db26-4822-907a-35193553f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990c6-5d32-4350-bba6-81eb8ab520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436a34c-6684-409b-b5cc-0151373ab5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eef99-db26-4822-907a-35193553fac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1203703-5f9e-4900-8dbc-3aebcb99f458}" ma:internalName="TaxCatchAll" ma:showField="CatchAllData" ma:web="04feef99-db26-4822-907a-35193553f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8AC4DB-DE5E-4EEF-A745-EC6C0B711EEC}">
  <ds:schemaRefs>
    <ds:schemaRef ds:uri="http://schemas.microsoft.com/office/2006/metadata/properties"/>
    <ds:schemaRef ds:uri="http://schemas.microsoft.com/office/infopath/2007/PartnerControls"/>
    <ds:schemaRef ds:uri="803990c6-5d32-4350-bba6-81eb8ab5200a"/>
    <ds:schemaRef ds:uri="04feef99-db26-4822-907a-35193553fac7"/>
  </ds:schemaRefs>
</ds:datastoreItem>
</file>

<file path=customXml/itemProps2.xml><?xml version="1.0" encoding="utf-8"?>
<ds:datastoreItem xmlns:ds="http://schemas.openxmlformats.org/officeDocument/2006/customXml" ds:itemID="{FE642EEB-F6CD-426E-A377-908E6B7D5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3990c6-5d32-4350-bba6-81eb8ab5200a"/>
    <ds:schemaRef ds:uri="04feef99-db26-4822-907a-35193553f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ADA4EB-82F4-4EB9-BBE4-0C4E7DFBC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TAR</vt:lpstr>
      <vt:lpstr>PO</vt:lpstr>
      <vt:lpstr>MATERIAL</vt:lpstr>
      <vt:lpstr>TOOLS</vt:lpstr>
      <vt:lpstr>VEHICLE</vt:lpstr>
      <vt:lpstr>JAN</vt:lpstr>
      <vt:lpstr>FEB</vt:lpstr>
      <vt:lpstr>Diesel Cost</vt:lpstr>
      <vt:lpstr>MATERIAL!Print_Area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Leigh-Anne Pottow</dc:creator>
  <cp:keywords/>
  <dc:description/>
  <cp:lastModifiedBy>Mbali Magubane</cp:lastModifiedBy>
  <cp:revision/>
  <dcterms:created xsi:type="dcterms:W3CDTF">2014-05-30T07:47:03Z</dcterms:created>
  <dcterms:modified xsi:type="dcterms:W3CDTF">2026-01-16T09:42:29Z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0x010100C874810318687846BF60022B9313F693</vt:lpwstr>
  </property>
  <property fmtid="{D5CDD505-2E9C-101B-9397-08002B2CF9AE}" pid="3" name="MediaServiceImageTags">
    <vt:lpwstr/>
  </property>
</Properties>
</file>